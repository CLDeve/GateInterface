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ENNYW\Desktop\"/>
    </mc:Choice>
  </mc:AlternateContent>
  <xr:revisionPtr revIDLastSave="0" documentId="13_ncr:1_{49BA0971-8F6B-47FD-95DC-62CD7686A511}" xr6:coauthVersionLast="47" xr6:coauthVersionMax="47" xr10:uidLastSave="{00000000-0000-0000-0000-000000000000}"/>
  <bookViews>
    <workbookView xWindow="-108" yWindow="-108" windowWidth="23256" windowHeight="12456" tabRatio="665" activeTab="1" xr2:uid="{FFF633EA-49F0-4594-9BE7-41637A6F480B}"/>
  </bookViews>
  <sheets>
    <sheet name="Summary" sheetId="15" r:id="rId1"/>
    <sheet name="2a. Administration" sheetId="1" r:id="rId2"/>
    <sheet name="2b. Planning" sheetId="2" r:id="rId3"/>
    <sheet name="2c. Delivery" sheetId="3" r:id="rId4"/>
    <sheet name="2d. Reconciliation" sheetId="4" r:id="rId5"/>
    <sheet name="2e. Reporting" sheetId="5" r:id="rId6"/>
    <sheet name="3a. Security" sheetId="7" r:id="rId7"/>
    <sheet name="3b. User Interface and User Exp" sheetId="8" r:id="rId8"/>
    <sheet name="3c. Performance-Scalability" sheetId="9" r:id="rId9"/>
    <sheet name="3d. Support-Maintenance" sheetId="10" r:id="rId10"/>
    <sheet name="3e. Reliability-Availability" sheetId="11" r:id="rId11"/>
    <sheet name="3f. Integration" sheetId="12" r:id="rId12"/>
    <sheet name="3g. Configurability" sheetId="13" r:id="rId13"/>
    <sheet name="3h. Compliance" sheetId="14" r:id="rId14"/>
  </sheets>
  <definedNames>
    <definedName name="_xlnm._FilterDatabase" localSheetId="1" hidden="1">'2a. Administration'!$A$1:$L$1</definedName>
    <definedName name="_xlnm._FilterDatabase" localSheetId="2" hidden="1">'2b. Planning'!$A$1:$L$272</definedName>
    <definedName name="_xlnm._FilterDatabase" localSheetId="3" hidden="1">'2c. Delivery'!$A$1:$L$118</definedName>
    <definedName name="_xlnm._FilterDatabase" localSheetId="4" hidden="1">'2d. Reconciliation'!$A$1:$K$35</definedName>
    <definedName name="_xlnm._FilterDatabase" localSheetId="5" hidden="1">'2e. Reporting'!$A$1:$L$76</definedName>
    <definedName name="_xlnm._FilterDatabase" localSheetId="6" hidden="1">'3a. Security'!$A$1:$K$7</definedName>
    <definedName name="_xlnm._FilterDatabase" localSheetId="7" hidden="1">'3b. User Interface and User Exp'!$A$1:$K$9</definedName>
    <definedName name="_xlnm._FilterDatabase" localSheetId="8" hidden="1">'3c. Performance-Scalability'!$A$1:$K$7</definedName>
    <definedName name="_xlnm._FilterDatabase" localSheetId="9" hidden="1">'3d. Support-Maintenance'!$A$1:$K$9</definedName>
    <definedName name="_xlnm._FilterDatabase" localSheetId="10" hidden="1">'3e. Reliability-Availability'!$A$1:$K$10</definedName>
    <definedName name="_xlnm._FilterDatabase" localSheetId="11" hidden="1">'3f. Integration'!$A$1:$K$20</definedName>
    <definedName name="_xlnm._FilterDatabase" localSheetId="12" hidden="1">'3g. Configurability'!$A$1:$K$5</definedName>
    <definedName name="_xlnm._FilterDatabase" localSheetId="13" hidden="1">'3h. Compliance'!$A$1:$K$9</definedName>
    <definedName name="_Int_h0KAy7bb" localSheetId="1">'2a. Administration'!$B$9</definedName>
    <definedName name="_Int_h0KAy7bb" localSheetId="2">'2b. Planning'!$B$7</definedName>
    <definedName name="_Int_h0KAy7bb" localSheetId="3">'2c. Delivery'!$B$9</definedName>
    <definedName name="_Int_h0KAy7bb" localSheetId="4">'2d. Reconciliation'!$B$9</definedName>
    <definedName name="_Int_h0KAy7bb" localSheetId="5">'2e. Reporting'!$B$9</definedName>
    <definedName name="_Int_h0KAy7bb" localSheetId="6">'3a. Security'!#REF!</definedName>
    <definedName name="_Int_h0KAy7bb" localSheetId="7">'3b. User Interface and User Exp'!#REF!</definedName>
    <definedName name="_Int_h0KAy7bb" localSheetId="8">'3c. Performance-Scalability'!#REF!</definedName>
    <definedName name="_Int_h0KAy7bb" localSheetId="9">'3d. Support-Maintenance'!#REF!</definedName>
    <definedName name="_Int_h0KAy7bb" localSheetId="10">'3e. Reliability-Availability'!#REF!</definedName>
    <definedName name="_Int_h0KAy7bb" localSheetId="11">'3f. Integration'!#REF!</definedName>
    <definedName name="_Int_h0KAy7bb" localSheetId="12">'3g. Configurability'!#REF!</definedName>
    <definedName name="_Int_h0KAy7bb" localSheetId="13">'3h. Compliance'!#REF!</definedName>
    <definedName name="_Int_QiuZ3ikt" localSheetId="2">'2b. Planning'!$C$24</definedName>
    <definedName name="_Int_QiuZ3ikt" localSheetId="3">'2c. Delivery'!$C$33</definedName>
    <definedName name="_Int_QiuZ3ikt" localSheetId="4">'2d. Reconciliation'!#REF!</definedName>
    <definedName name="_Int_QiuZ3ikt" localSheetId="5">'2e. Reporting'!#REF!</definedName>
    <definedName name="_Int_QiuZ3ikt" localSheetId="6">'3a. Security'!#REF!</definedName>
    <definedName name="_Int_QiuZ3ikt" localSheetId="7">'3b. User Interface and User Exp'!#REF!</definedName>
    <definedName name="_Int_QiuZ3ikt" localSheetId="8">'3c. Performance-Scalability'!#REF!</definedName>
    <definedName name="_Int_QiuZ3ikt" localSheetId="9">'3d. Support-Maintenance'!#REF!</definedName>
    <definedName name="_Int_QiuZ3ikt" localSheetId="10">'3e. Reliability-Availability'!#REF!</definedName>
    <definedName name="_Int_QiuZ3ikt" localSheetId="11">'3f. Integration'!#REF!</definedName>
    <definedName name="_Int_QiuZ3ikt" localSheetId="12">'3g. Configurability'!#REF!</definedName>
    <definedName name="_Int_QiuZ3ikt" localSheetId="13">'3h. Compliance'!#REF!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4" i="15" l="1"/>
  <c r="P34" i="15"/>
  <c r="O34" i="15"/>
  <c r="N34" i="15"/>
  <c r="M34" i="15"/>
  <c r="L34" i="15"/>
  <c r="Q33" i="15"/>
  <c r="P33" i="15"/>
  <c r="O33" i="15"/>
  <c r="N33" i="15"/>
  <c r="M33" i="15"/>
  <c r="S33" i="15" s="1"/>
  <c r="V33" i="15" s="1"/>
  <c r="L33" i="15"/>
  <c r="R33" i="15" s="1"/>
  <c r="U33" i="15" s="1"/>
  <c r="Q32" i="15"/>
  <c r="P32" i="15"/>
  <c r="O32" i="15"/>
  <c r="N32" i="15"/>
  <c r="M32" i="15"/>
  <c r="L32" i="15"/>
  <c r="Q31" i="15"/>
  <c r="P31" i="15"/>
  <c r="O31" i="15"/>
  <c r="N31" i="15"/>
  <c r="T31" i="15" s="1"/>
  <c r="W31" i="15" s="1"/>
  <c r="M31" i="15"/>
  <c r="S31" i="15" s="1"/>
  <c r="V31" i="15" s="1"/>
  <c r="L31" i="15"/>
  <c r="R31" i="15" s="1"/>
  <c r="U31" i="15" s="1"/>
  <c r="Q30" i="15"/>
  <c r="P30" i="15"/>
  <c r="O30" i="15"/>
  <c r="N30" i="15"/>
  <c r="M30" i="15"/>
  <c r="S30" i="15" s="1"/>
  <c r="V30" i="15" s="1"/>
  <c r="L30" i="15"/>
  <c r="Q29" i="15"/>
  <c r="P29" i="15"/>
  <c r="O29" i="15"/>
  <c r="N29" i="15"/>
  <c r="M29" i="15"/>
  <c r="L29" i="15"/>
  <c r="R29" i="15" s="1"/>
  <c r="U29" i="15" s="1"/>
  <c r="Q28" i="15"/>
  <c r="P28" i="15"/>
  <c r="O28" i="15"/>
  <c r="N28" i="15"/>
  <c r="T28" i="15" s="1"/>
  <c r="W28" i="15" s="1"/>
  <c r="M28" i="15"/>
  <c r="S28" i="15" s="1"/>
  <c r="V28" i="15" s="1"/>
  <c r="L28" i="15"/>
  <c r="R28" i="15" s="1"/>
  <c r="U28" i="15" s="1"/>
  <c r="Q27" i="15"/>
  <c r="P27" i="15"/>
  <c r="O27" i="15"/>
  <c r="N27" i="15"/>
  <c r="M27" i="15"/>
  <c r="L27" i="15"/>
  <c r="T34" i="15"/>
  <c r="W34" i="15" s="1"/>
  <c r="S34" i="15"/>
  <c r="V34" i="15" s="1"/>
  <c r="R34" i="15"/>
  <c r="U34" i="15" s="1"/>
  <c r="T33" i="15"/>
  <c r="W33" i="15" s="1"/>
  <c r="R32" i="15"/>
  <c r="U32" i="15" s="1"/>
  <c r="T32" i="15"/>
  <c r="W32" i="15" s="1"/>
  <c r="T29" i="15"/>
  <c r="W29" i="15" s="1"/>
  <c r="S29" i="15"/>
  <c r="V29" i="15" s="1"/>
  <c r="R27" i="15"/>
  <c r="U27" i="15" s="1"/>
  <c r="T27" i="15"/>
  <c r="W27" i="15" s="1"/>
  <c r="S27" i="15"/>
  <c r="V27" i="15" s="1"/>
  <c r="Q25" i="15"/>
  <c r="P25" i="15"/>
  <c r="O25" i="15"/>
  <c r="N25" i="15"/>
  <c r="M25" i="15"/>
  <c r="L25" i="15"/>
  <c r="Q24" i="15"/>
  <c r="P24" i="15"/>
  <c r="O24" i="15"/>
  <c r="N24" i="15"/>
  <c r="M24" i="15"/>
  <c r="L24" i="15"/>
  <c r="Q23" i="15"/>
  <c r="P23" i="15"/>
  <c r="O23" i="15"/>
  <c r="N23" i="15"/>
  <c r="M23" i="15"/>
  <c r="L23" i="15"/>
  <c r="Q22" i="15"/>
  <c r="P22" i="15"/>
  <c r="O22" i="15"/>
  <c r="N22" i="15"/>
  <c r="M22" i="15"/>
  <c r="L22" i="15"/>
  <c r="Q21" i="15"/>
  <c r="P21" i="15"/>
  <c r="O21" i="15"/>
  <c r="N21" i="15"/>
  <c r="M21" i="15"/>
  <c r="L21" i="15"/>
  <c r="R21" i="15" s="1"/>
  <c r="J32" i="15"/>
  <c r="K31" i="15"/>
  <c r="H34" i="15"/>
  <c r="K34" i="15" s="1"/>
  <c r="G34" i="15"/>
  <c r="F34" i="15"/>
  <c r="E34" i="15"/>
  <c r="D34" i="15"/>
  <c r="J34" i="15" s="1"/>
  <c r="C34" i="15"/>
  <c r="I34" i="15" s="1"/>
  <c r="H33" i="15"/>
  <c r="K33" i="15" s="1"/>
  <c r="G33" i="15"/>
  <c r="F33" i="15"/>
  <c r="E33" i="15"/>
  <c r="D33" i="15"/>
  <c r="J33" i="15" s="1"/>
  <c r="C33" i="15"/>
  <c r="I33" i="15" s="1"/>
  <c r="H32" i="15"/>
  <c r="K32" i="15" s="1"/>
  <c r="G32" i="15"/>
  <c r="F32" i="15"/>
  <c r="I32" i="15" s="1"/>
  <c r="E32" i="15"/>
  <c r="D32" i="15"/>
  <c r="C32" i="15"/>
  <c r="H31" i="15"/>
  <c r="G31" i="15"/>
  <c r="F31" i="15"/>
  <c r="E31" i="15"/>
  <c r="D31" i="15"/>
  <c r="J31" i="15" s="1"/>
  <c r="C31" i="15"/>
  <c r="I31" i="15" s="1"/>
  <c r="H30" i="15"/>
  <c r="K30" i="15" s="1"/>
  <c r="G30" i="15"/>
  <c r="F30" i="15"/>
  <c r="E30" i="15"/>
  <c r="D30" i="15"/>
  <c r="J30" i="15" s="1"/>
  <c r="C30" i="15"/>
  <c r="I30" i="15" s="1"/>
  <c r="H29" i="15"/>
  <c r="K29" i="15" s="1"/>
  <c r="G29" i="15"/>
  <c r="F29" i="15"/>
  <c r="E29" i="15"/>
  <c r="D29" i="15"/>
  <c r="J29" i="15" s="1"/>
  <c r="C29" i="15"/>
  <c r="I29" i="15" s="1"/>
  <c r="H28" i="15"/>
  <c r="K28" i="15" s="1"/>
  <c r="G28" i="15"/>
  <c r="F28" i="15"/>
  <c r="I28" i="15" s="1"/>
  <c r="E28" i="15"/>
  <c r="D28" i="15"/>
  <c r="J28" i="15" s="1"/>
  <c r="C28" i="15"/>
  <c r="H27" i="15"/>
  <c r="K27" i="15" s="1"/>
  <c r="G27" i="15"/>
  <c r="F27" i="15"/>
  <c r="E27" i="15"/>
  <c r="D27" i="15"/>
  <c r="C27" i="15"/>
  <c r="I27" i="15" s="1"/>
  <c r="H25" i="15"/>
  <c r="G25" i="15"/>
  <c r="F25" i="15"/>
  <c r="E25" i="15"/>
  <c r="K25" i="15" s="1"/>
  <c r="D25" i="15"/>
  <c r="J25" i="15" s="1"/>
  <c r="C25" i="15"/>
  <c r="I25" i="15" s="1"/>
  <c r="H24" i="15"/>
  <c r="G24" i="15"/>
  <c r="F24" i="15"/>
  <c r="E24" i="15"/>
  <c r="D24" i="15"/>
  <c r="J24" i="15" s="1"/>
  <c r="C24" i="15"/>
  <c r="I24" i="15" s="1"/>
  <c r="H23" i="15"/>
  <c r="G23" i="15"/>
  <c r="F23" i="15"/>
  <c r="E23" i="15"/>
  <c r="D23" i="15"/>
  <c r="C23" i="15"/>
  <c r="I23" i="15" s="1"/>
  <c r="H22" i="15"/>
  <c r="G22" i="15"/>
  <c r="F22" i="15"/>
  <c r="E22" i="15"/>
  <c r="D22" i="15"/>
  <c r="C22" i="15"/>
  <c r="H21" i="15"/>
  <c r="G21" i="15"/>
  <c r="F21" i="15"/>
  <c r="E21" i="15"/>
  <c r="K21" i="15" s="1"/>
  <c r="D21" i="15"/>
  <c r="J21" i="15" s="1"/>
  <c r="C21" i="15"/>
  <c r="I21" i="15" s="1"/>
  <c r="G16" i="15"/>
  <c r="F16" i="15"/>
  <c r="D16" i="15"/>
  <c r="C16" i="15"/>
  <c r="G15" i="15"/>
  <c r="F15" i="15"/>
  <c r="D15" i="15"/>
  <c r="C15" i="15"/>
  <c r="G14" i="15"/>
  <c r="G13" i="15"/>
  <c r="F14" i="15"/>
  <c r="D14" i="15"/>
  <c r="C14" i="15"/>
  <c r="F13" i="15"/>
  <c r="D13" i="15"/>
  <c r="C13" i="15"/>
  <c r="G12" i="15"/>
  <c r="F12" i="15"/>
  <c r="D12" i="15"/>
  <c r="C12" i="15"/>
  <c r="G11" i="15"/>
  <c r="F11" i="15"/>
  <c r="D11" i="15"/>
  <c r="C11" i="15"/>
  <c r="G10" i="15"/>
  <c r="F10" i="15"/>
  <c r="D10" i="15"/>
  <c r="C10" i="15"/>
  <c r="G9" i="15"/>
  <c r="F9" i="15"/>
  <c r="D9" i="15"/>
  <c r="C9" i="15"/>
  <c r="G7" i="15"/>
  <c r="F7" i="15"/>
  <c r="D7" i="15"/>
  <c r="C7" i="15"/>
  <c r="G6" i="15"/>
  <c r="F6" i="15"/>
  <c r="D6" i="15"/>
  <c r="C6" i="15"/>
  <c r="G5" i="15"/>
  <c r="F5" i="15"/>
  <c r="D5" i="15"/>
  <c r="C5" i="15"/>
  <c r="G4" i="15"/>
  <c r="F4" i="15"/>
  <c r="D4" i="15"/>
  <c r="C4" i="15"/>
  <c r="G3" i="15"/>
  <c r="F3" i="15"/>
  <c r="D3" i="15"/>
  <c r="C3" i="15"/>
  <c r="K24" i="15" l="1"/>
  <c r="U21" i="15"/>
  <c r="S21" i="15"/>
  <c r="V21" i="15" s="1"/>
  <c r="S32" i="15"/>
  <c r="V32" i="15" s="1"/>
  <c r="R30" i="15"/>
  <c r="U30" i="15" s="1"/>
  <c r="T30" i="15"/>
  <c r="W30" i="15" s="1"/>
  <c r="T25" i="15"/>
  <c r="W25" i="15" s="1"/>
  <c r="T21" i="15"/>
  <c r="W21" i="15" s="1"/>
  <c r="R25" i="15"/>
  <c r="U25" i="15" s="1"/>
  <c r="S25" i="15"/>
  <c r="V25" i="15" s="1"/>
  <c r="T24" i="15"/>
  <c r="W24" i="15" s="1"/>
  <c r="R24" i="15"/>
  <c r="U24" i="15" s="1"/>
  <c r="S24" i="15"/>
  <c r="V24" i="15" s="1"/>
  <c r="S23" i="15"/>
  <c r="V23" i="15" s="1"/>
  <c r="P35" i="15"/>
  <c r="R23" i="15"/>
  <c r="U23" i="15" s="1"/>
  <c r="T23" i="15"/>
  <c r="N35" i="15"/>
  <c r="O35" i="15"/>
  <c r="S22" i="15"/>
  <c r="R22" i="15"/>
  <c r="T22" i="15"/>
  <c r="L35" i="15"/>
  <c r="M35" i="15"/>
  <c r="Q35" i="15"/>
  <c r="J23" i="15"/>
  <c r="K23" i="15"/>
  <c r="J27" i="15"/>
  <c r="J22" i="15"/>
  <c r="J35" i="15" s="1"/>
  <c r="K22" i="15"/>
  <c r="I22" i="15"/>
  <c r="I35" i="15" s="1"/>
  <c r="G35" i="15"/>
  <c r="D35" i="15"/>
  <c r="F35" i="15"/>
  <c r="E35" i="15"/>
  <c r="H35" i="15"/>
  <c r="C35" i="15"/>
  <c r="E3" i="15"/>
  <c r="H16" i="15"/>
  <c r="E16" i="15"/>
  <c r="I16" i="15" s="1"/>
  <c r="H15" i="15"/>
  <c r="E15" i="15"/>
  <c r="H14" i="15"/>
  <c r="E14" i="15"/>
  <c r="H13" i="15"/>
  <c r="E13" i="15"/>
  <c r="H12" i="15"/>
  <c r="E12" i="15"/>
  <c r="I12" i="15" s="1"/>
  <c r="H11" i="15"/>
  <c r="E11" i="15"/>
  <c r="H10" i="15"/>
  <c r="E10" i="15"/>
  <c r="H9" i="15"/>
  <c r="E9" i="15"/>
  <c r="H7" i="15"/>
  <c r="E7" i="15"/>
  <c r="H6" i="15"/>
  <c r="G17" i="15"/>
  <c r="D17" i="15"/>
  <c r="E6" i="15"/>
  <c r="C17" i="15"/>
  <c r="H5" i="15"/>
  <c r="F17" i="15"/>
  <c r="E5" i="15"/>
  <c r="H4" i="15"/>
  <c r="E4" i="15"/>
  <c r="H3" i="15"/>
  <c r="W23" i="15" l="1"/>
  <c r="K35" i="15"/>
  <c r="R35" i="15"/>
  <c r="S35" i="15"/>
  <c r="T35" i="15"/>
  <c r="V22" i="15"/>
  <c r="V35" i="15" s="1"/>
  <c r="W22" i="15"/>
  <c r="W35" i="15" s="1"/>
  <c r="U22" i="15"/>
  <c r="U35" i="15" s="1"/>
  <c r="I14" i="15"/>
  <c r="I3" i="15"/>
  <c r="I15" i="15"/>
  <c r="I11" i="15"/>
  <c r="I10" i="15"/>
  <c r="I7" i="15"/>
  <c r="I13" i="15"/>
  <c r="I9" i="15"/>
  <c r="I4" i="15"/>
  <c r="I6" i="15"/>
  <c r="H17" i="15"/>
  <c r="I5" i="15"/>
  <c r="E17" i="15"/>
  <c r="I17" i="15" l="1"/>
</calcChain>
</file>

<file path=xl/sharedStrings.xml><?xml version="1.0" encoding="utf-8"?>
<sst xmlns="http://schemas.openxmlformats.org/spreadsheetml/2006/main" count="5519" uniqueCount="1013">
  <si>
    <t>Requirements</t>
  </si>
  <si>
    <t>SX</t>
  </si>
  <si>
    <t>X</t>
  </si>
  <si>
    <t>#</t>
  </si>
  <si>
    <t>Item</t>
  </si>
  <si>
    <t>Critical</t>
  </si>
  <si>
    <t>Non Critical</t>
  </si>
  <si>
    <t>Total</t>
  </si>
  <si>
    <t>Delta</t>
  </si>
  <si>
    <t>2a</t>
  </si>
  <si>
    <t>Administration</t>
  </si>
  <si>
    <t>2b</t>
  </si>
  <si>
    <t>Planning</t>
  </si>
  <si>
    <t>2c</t>
  </si>
  <si>
    <t>Delivery</t>
  </si>
  <si>
    <t>2d</t>
  </si>
  <si>
    <t>Reconciliation</t>
  </si>
  <si>
    <t>2e</t>
  </si>
  <si>
    <t>Reporting</t>
  </si>
  <si>
    <t>3a</t>
  </si>
  <si>
    <t>Security</t>
  </si>
  <si>
    <t>3b</t>
  </si>
  <si>
    <t>User Interface &amp; User Exp</t>
  </si>
  <si>
    <t>3c</t>
  </si>
  <si>
    <t>Performance &amp; Scalability</t>
  </si>
  <si>
    <t>3d</t>
  </si>
  <si>
    <t>Support-Maintenance</t>
  </si>
  <si>
    <t>3e</t>
  </si>
  <si>
    <t>Reliability-Availability</t>
  </si>
  <si>
    <t>3f</t>
  </si>
  <si>
    <t>Integration</t>
  </si>
  <si>
    <t>3g</t>
  </si>
  <si>
    <t>Configurability</t>
  </si>
  <si>
    <t>3h</t>
  </si>
  <si>
    <t>Compliance</t>
  </si>
  <si>
    <t>Y</t>
  </si>
  <si>
    <t>N</t>
  </si>
  <si>
    <t>P</t>
  </si>
  <si>
    <t>2a.</t>
  </si>
  <si>
    <t>Administration.  In terms of managing business-level configurations and rules, the Software shall:</t>
  </si>
  <si>
    <t>Fulfil Certis' Requirements? (Yes/No/Partial)</t>
  </si>
  <si>
    <t>Remarks</t>
  </si>
  <si>
    <r>
      <t xml:space="preserve">SG </t>
    </r>
    <r>
      <rPr>
        <sz val="12"/>
        <color rgb="FF000000"/>
        <rFont val="Arial"/>
        <family val="2"/>
      </rPr>
      <t>(X if required
SX Showstopper)</t>
    </r>
  </si>
  <si>
    <r>
      <t>AU</t>
    </r>
    <r>
      <rPr>
        <sz val="12"/>
        <color rgb="FF000000"/>
        <rFont val="Arial"/>
        <family val="2"/>
      </rPr>
      <t xml:space="preserve"> (X if required)</t>
    </r>
  </si>
  <si>
    <t>Revised 
Requirements</t>
  </si>
  <si>
    <t>Certis Remarks</t>
  </si>
  <si>
    <t>Indicator</t>
  </si>
  <si>
    <t>Response 
(Yes/No/Partial)</t>
  </si>
  <si>
    <t>i.</t>
  </si>
  <si>
    <r>
      <t>Role-Based Access Control</t>
    </r>
    <r>
      <rPr>
        <sz val="12"/>
        <color theme="1"/>
        <rFont val="Arial"/>
        <family val="2"/>
      </rPr>
      <t> </t>
    </r>
  </si>
  <si>
    <t>Allow the System Administrator to define and manage user roles, each with specific permissions and access rights.  Access levels should be aligned with job responsibilities to enforce the principle of least privilege.</t>
  </si>
  <si>
    <t>ii.</t>
  </si>
  <si>
    <r>
      <t>Data-level Access Control</t>
    </r>
    <r>
      <rPr>
        <sz val="12"/>
        <color theme="1"/>
        <rFont val="Arial"/>
        <family val="2"/>
      </rPr>
      <t> </t>
    </r>
  </si>
  <si>
    <t>Allow the system administrator to assign granular permissions, with users having access (i.e. a combination of CRUD rights) to only specific records/groups of records within the Software 
Eg, two users having access to same screen might have a different level of Authorization based on role, data and action to perform on the screen</t>
  </si>
  <si>
    <t>Part of custom RBAC</t>
  </si>
  <si>
    <t>iii.</t>
  </si>
  <si>
    <r>
      <t>Segregation of Duties</t>
    </r>
    <r>
      <rPr>
        <sz val="12"/>
        <color theme="1"/>
        <rFont val="Arial"/>
        <family val="2"/>
      </rPr>
      <t> </t>
    </r>
    <r>
      <rPr>
        <b/>
        <sz val="12"/>
        <color theme="1"/>
        <rFont val="Arial"/>
        <family val="2"/>
      </rPr>
      <t xml:space="preserve"> (SOD)</t>
    </r>
    <r>
      <rPr>
        <sz val="12"/>
        <color theme="1"/>
        <rFont val="Arial"/>
        <family val="2"/>
      </rPr>
      <t>  </t>
    </r>
  </si>
  <si>
    <t>1. Include functionality to identify and report potential role conflicts within the access control structure. This helps prevent situations where a single user may have conflicting or incompatible duties.  For example, employees given access rights to update rosters shall not be able to update a roster which he/she is assigned to.</t>
  </si>
  <si>
    <t>2. Functionality shall extend to workflows and business processes. The Software should allow administrators to define and enforce the separation of critical tasks to prevent unauthorized or conflicting actions.</t>
  </si>
  <si>
    <t>These would need to be specified and can be built dynamically or if more static may be directly incorporated.</t>
  </si>
  <si>
    <t>3. Pre-built and configurable workflows to enable notification   and approval processes across SOD layers, shall be included.</t>
  </si>
  <si>
    <t>Approval workflows are pre-built into the system based on hierarchy and/or direct supervisor.</t>
  </si>
  <si>
    <t>Same as above.</t>
  </si>
  <si>
    <t>iv.</t>
  </si>
  <si>
    <r>
      <t>Access Monitoring and Logging</t>
    </r>
    <r>
      <rPr>
        <sz val="12"/>
        <color theme="1"/>
        <rFont val="Arial"/>
        <family val="2"/>
      </rPr>
      <t> </t>
    </r>
  </si>
  <si>
    <t>User Activity Logging - Log user activities, including login attempts, access to sensitive data, and changes to configuration settings. Detailed logs should be maintained to track user actions for auditing and forensic purposes.</t>
  </si>
  <si>
    <t>Real-time Monitoring and Alerts - Implement real-time monitoring capabilities to detect and alert administrators about suspicious or unauthorized activities. Automated alerts should be triggered based on predefined thresholds and patterns indicative of security risks.</t>
  </si>
  <si>
    <t>Audit trails - The software must provide comprehensive audit trails that capture all relevant access control activities and changes. These audit trails should be easily accessible via a self-service user interface within the Software for internal and external audits to demonstrate compliance.</t>
  </si>
  <si>
    <t>v.</t>
  </si>
  <si>
    <r>
      <t>Automatic Archival of users</t>
    </r>
    <r>
      <rPr>
        <sz val="12"/>
        <color theme="1"/>
        <rFont val="Arial"/>
        <family val="2"/>
      </rPr>
      <t> </t>
    </r>
  </si>
  <si>
    <t>Have the capability to automatically archive data as “housekeeping” to maintain only active data in the system.  This shall be governed by rules e.g. User has not been rostered for 30 days or User has not performed a shift in 30 days, e.g. Rosters are archived after 12months post-execution, but retained for a minimum of 7 years.</t>
  </si>
  <si>
    <t>Currently data is retained for 7 years. Rules around "housekeeping" and "rules" would necessitate extension of the existing functionality.</t>
  </si>
  <si>
    <t>vi.</t>
  </si>
  <si>
    <r>
      <t>Contract Creation/Import</t>
    </r>
    <r>
      <rPr>
        <sz val="12"/>
        <color rgb="FF000000"/>
        <rFont val="Arial"/>
        <family val="2"/>
      </rPr>
      <t>    </t>
    </r>
  </si>
  <si>
    <t>The solution must support the automated creation or import of master data from SAP S/4HANA.</t>
  </si>
  <si>
    <t>vii.</t>
  </si>
  <si>
    <r>
      <t xml:space="preserve">Types of work/demand items </t>
    </r>
    <r>
      <rPr>
        <sz val="12"/>
        <color theme="1"/>
        <rFont val="Arial"/>
        <family val="2"/>
      </rPr>
      <t> – include the following work/demand item types    </t>
    </r>
  </si>
  <si>
    <t>The solution must allow configurable categorisation of work or demand items to align with operational needs such as deployable, billable, and user-defined demand types 
Also the same information must be available in reports</t>
  </si>
  <si>
    <t>These can be labelled with tags or CG/CSG.</t>
  </si>
  <si>
    <t>viii.</t>
  </si>
  <si>
    <r>
      <t>Employee Attributes</t>
    </r>
    <r>
      <rPr>
        <sz val="12"/>
        <color theme="1"/>
        <rFont val="Arial"/>
        <family val="2"/>
      </rPr>
      <t> </t>
    </r>
  </si>
  <si>
    <t>The solution must support configurable employee attributes to enable accurate rostering, role assignment, and compliance tracking.</t>
  </si>
  <si>
    <t>ix.</t>
  </si>
  <si>
    <r>
      <t>Compliance Functions</t>
    </r>
    <r>
      <rPr>
        <sz val="12"/>
        <color rgb="FF000000"/>
        <rFont val="Arial"/>
        <family val="2"/>
      </rPr>
      <t>    </t>
    </r>
  </si>
  <si>
    <t>The solution must support the application of relevant industrial awards, enterprise agreements, and employment policies to ensure compliance with applicable wage, hour, and employment regulations.</t>
  </si>
  <si>
    <t>x.</t>
  </si>
  <si>
    <t>Leave and Accrual Tracking Functions</t>
  </si>
  <si>
    <t>The solution must provide configurable leave and accrual management capabilities that support compliance with local regulations, company policies, and relevant industrial awards. It should enable the application of varying leave rules, entitlements, and approval workflows across different employee types, business units, and operating jurisdictions</t>
  </si>
  <si>
    <t>This is handled by SAP and then the banks and values are pushed to WorkAxle. WorkAxle also has local time banks for WFM based accruals and tracking that need to be captured in addition to the standard HR banks.</t>
  </si>
  <si>
    <t>xi.</t>
  </si>
  <si>
    <r>
      <t>Payroll Calculation Capabilities</t>
    </r>
    <r>
      <rPr>
        <sz val="12"/>
        <color rgb="FF000000"/>
        <rFont val="Arial"/>
        <family val="2"/>
      </rPr>
      <t>  </t>
    </r>
  </si>
  <si>
    <t>The solution must support accurate and automated interpretation of timesheet data in line with applicable industrial awards, enterprise agreements, and company policies. It must be capable of applying complex working conditions such as overtime, shift differentials, and allowances, and provide flexibility to accommodate different rules by employee type, business unit, and union agreements. The interpreted data must integrate seamlessly with SAP SuccessFactors Employee Central Payroll for processing.</t>
  </si>
  <si>
    <t>Handled by SF</t>
  </si>
  <si>
    <t>xii.</t>
  </si>
  <si>
    <r>
      <t>Other Payroll Calculation Capabilities</t>
    </r>
    <r>
      <rPr>
        <sz val="12"/>
        <color theme="1"/>
        <rFont val="Arial"/>
        <family val="2"/>
      </rPr>
      <t> </t>
    </r>
  </si>
  <si>
    <t>The solution must support automated triggering of allowances based on configurable conditions. These triggers may be based on, but are not limited to, criteria such as site, task, position, or individual employee level. Triggers should also be configurable based on the number of days or hours worked, and after crossing specific thresholds—such as exceeding certain working hours—with the ability to define minimum and maximum allowance limits per day, week, or defined period.</t>
  </si>
  <si>
    <t>Would need complete list of detailed requirements for this but we have a detailed rule engine that can handle many complex situations and is the most flexible and modern rule engine on the market for enterprise level WFM.</t>
  </si>
  <si>
    <t>Manual Tag Paycode is allowed. Pay rules to incentives &amp; Allowances</t>
  </si>
  <si>
    <t>xiii.</t>
  </si>
  <si>
    <r>
      <t>Basic employee award interpretation</t>
    </r>
    <r>
      <rPr>
        <sz val="12"/>
        <color theme="1"/>
        <rFont val="Arial"/>
        <family val="2"/>
      </rPr>
      <t>    – have the capability to interpret and calculate Employee Agreement terms of:</t>
    </r>
  </si>
  <si>
    <t>Recommend deleting and providing the copies of the relevant awards and enterprise agreements.</t>
  </si>
  <si>
    <t>1) Overtime each day stands alone  </t>
  </si>
  <si>
    <t>Not Required</t>
  </si>
  <si>
    <t>2) Automatic Meal Allowance on 2nd Allowance (EBA) after 5hrs work</t>
  </si>
  <si>
    <t>3) Short Shift Allowance (EBA)</t>
  </si>
  <si>
    <t>4) Broken Shift Allowance (EBA)</t>
  </si>
  <si>
    <t>5) Day Loading (conditional on start on or before 5.30am start of on or after 18.30 finish)</t>
  </si>
  <si>
    <t>6) PHNW payable on off Days for 7-day workers (EBA and award)</t>
  </si>
  <si>
    <t>7) Leave Loading automatic calculation payable on either 17.5% of higher loading that would have been earned if working</t>
  </si>
  <si>
    <t>Need more specific information</t>
  </si>
  <si>
    <t>8) Ability to distinguish when Rotating or Permanent Night Loading is payable, when 2/3 of ordinary shifts start between 00:00 and 06:00 then Permanent night loading is payable.</t>
  </si>
  <si>
    <t>9)Ability to seamlessly integrate payroll and relate information such as industry award and what level to pay personnel. </t>
  </si>
  <si>
    <t>10) Has the demonstrated capability to interpret all aspects of the Security Services Industry Award [MA000016]</t>
  </si>
  <si>
    <t>Has demonstratably handled similar complexity awards within AU but never specifically the Security Services Industry Award.</t>
  </si>
  <si>
    <t>11) Can update base pay rates, allowances and loadings in accordance with annual wage review cycles from S4 HANA and Successfactors without additional programming or vendor support</t>
  </si>
  <si>
    <t>SF or S4 to handle Time Eval</t>
  </si>
  <si>
    <t>xiv.</t>
  </si>
  <si>
    <r>
      <t>Time Tolerance/Grace Period/Rounding Rules</t>
    </r>
    <r>
      <rPr>
        <sz val="12"/>
        <color theme="1"/>
        <rFont val="Arial"/>
        <family val="2"/>
      </rPr>
      <t>  </t>
    </r>
  </si>
  <si>
    <t>The system must enable the configuration of time tolerance and grace period rules to support fair and compliant adjustment of attendance records. These rules should be adaptable based on operational needs, award or policy requirements, and associated with relevant roles, shifts, or demand types.</t>
  </si>
  <si>
    <t>xv.</t>
  </si>
  <si>
    <t>Handling of Public Holidays</t>
  </si>
  <si>
    <t>The solution must support the configuration and application of public holiday rules to ensure accurate rostering, entitlement management, and award interpretation. It should accommodate varying public holiday arrangements based on location, business unit, site, or employee type, and allow for flexible rostering requirements during public holidays.</t>
  </si>
  <si>
    <t>Specifics of these requirements may affect this answer.</t>
  </si>
  <si>
    <t>xvi.</t>
  </si>
  <si>
    <r>
      <t>Special Functions for Partners/Sub-contractors</t>
    </r>
    <r>
      <rPr>
        <sz val="12"/>
        <color theme="1"/>
        <rFont val="Arial"/>
        <family val="2"/>
      </rPr>
      <t> </t>
    </r>
    <r>
      <rPr>
        <b/>
        <sz val="12"/>
        <color theme="1"/>
        <rFont val="Arial"/>
        <family val="2"/>
      </rPr>
      <t xml:space="preserve">'  </t>
    </r>
    <r>
      <rPr>
        <sz val="12"/>
        <color theme="1"/>
        <rFont val="Arial"/>
        <family val="2"/>
      </rPr>
      <t>Certis employs the services of sub-contractors who provide workforce to supplement Certis’ contract demands.  The Software shall have:</t>
    </r>
  </si>
  <si>
    <t>The solution must support the engagement and management of sub-contractor organisations that supplement Certis’ workforce. It should provide configurable access and delegation capabilities to enable sub-contractors to receive rostered work, allocate their personnel, and meet operational and compliance requirements. The system must support identity management for personnel working across multiple subcontractors, ensure application of relevant fatigue and licensing rules, facilitate compliance with client-specific authorisation requirements, and enable document exchange and verification through integration with external systems and Certis' ERP.</t>
  </si>
  <si>
    <t>Specifics of these requirements may affect this answer. Specifically the operational flow and "document exchange and verification".</t>
  </si>
  <si>
    <t>Integrate RCMS via API</t>
  </si>
  <si>
    <t xml:space="preserve">Order Receiving </t>
  </si>
  <si>
    <t>i</t>
  </si>
  <si>
    <t>The system should integrate with S4 HANA for Sales Order creation and subsequently create the work order in NGRS from S4 HANA.</t>
  </si>
  <si>
    <t>ii</t>
  </si>
  <si>
    <t>The system should receive adhoc orders from Perspective SO/IRIMS and create the corresponding work orders in NGRS. For example, SO Perspective should be able to create work orders in NGRS (if any event of back dated creation, will require for approval workflow)</t>
  </si>
  <si>
    <t>Manual/ Give ISG to have ability to create urgent Demand via NGRS</t>
  </si>
  <si>
    <t>iii</t>
  </si>
  <si>
    <t xml:space="preserve">The system will be able to allow user to tag the NGRS Work Order to S4 HANA Contract </t>
  </si>
  <si>
    <t>Integrate with L2W IBMS</t>
  </si>
  <si>
    <t>iv</t>
  </si>
  <si>
    <t>The system should automatically create demand with all demand details updated, including coverage, constraints, allowances, site, longitude, latitude, and address, when NGRS receives the details.</t>
  </si>
  <si>
    <t>Onboarding</t>
  </si>
  <si>
    <t>The system must support the onboarding process for new staff, customers, and resource contractors within the NGRS framework, S4 HANA and other Certis Systems</t>
  </si>
  <si>
    <t>Users can automatically be added, archived, deleted directly through the integration with other systems or directly in the system</t>
  </si>
  <si>
    <t>For resource contractors via RCMS integration
FT/PT via S4 Integration</t>
  </si>
  <si>
    <t>The system must support the onboarding process for new billable contracts and outcome-based contracts within the NGRS and S4 HANA.</t>
  </si>
  <si>
    <t>System just need to categorize Work demand. Reference 2a vii</t>
  </si>
  <si>
    <t>The system must support the configuration of the Business Organizational Structure within the NGRS framework, including the setup and management of organizational units</t>
  </si>
  <si>
    <t>v</t>
  </si>
  <si>
    <t>The system must be capable of identifying the Business Unit (BU), Segment, or Division to which Assignment A belongs by tagging the organizational unit to the respective officer</t>
  </si>
  <si>
    <t>same as 2a iV</t>
  </si>
  <si>
    <t>vi</t>
  </si>
  <si>
    <t>The system must be capable of identifying the Business Unit (BU), Segment, or Division to which Officer A belongs</t>
  </si>
  <si>
    <t>vii</t>
  </si>
  <si>
    <t xml:space="preserve">The system must support the creation and onboarding of new constraints, including the specification of start and end dates, similar to the functionality provided by Certis System </t>
  </si>
  <si>
    <t>viii</t>
  </si>
  <si>
    <t>The system must support the creation and onboarding of new coverage, including the specification of start and end dates.</t>
  </si>
  <si>
    <t>ix</t>
  </si>
  <si>
    <t>The system must support the creation and onboarding of new shift patterns, which can be tagged to officers or demand, and must include the specification of start and end dates</t>
  </si>
  <si>
    <t>x</t>
  </si>
  <si>
    <t>The system must support the creation and onboarding of new allowances, including the specification of start and end dates</t>
  </si>
  <si>
    <t>xi</t>
  </si>
  <si>
    <t>The system must support the creation and onboarding of new incentives, including the specification of start and end dates</t>
  </si>
  <si>
    <t>xii</t>
  </si>
  <si>
    <t>The system must support the creation and onboarding of new qualifications, including the specification of start and end dates</t>
  </si>
  <si>
    <t>Integrate with Learning &amp; Training Management System (LTMS) &amp; S4</t>
  </si>
  <si>
    <t>xiii</t>
  </si>
  <si>
    <t>The system must support administrators in creating and onboarding new users within the NGRS framework.</t>
  </si>
  <si>
    <t>Integrate with SF &amp; S4</t>
  </si>
  <si>
    <t>xiv</t>
  </si>
  <si>
    <t>The system must define and manage access rights and user metrics within the NGRS framework</t>
  </si>
  <si>
    <t>xv</t>
  </si>
  <si>
    <t>The system must support the creation and onboarding of Cost/Profit Centers within the NGRS framework</t>
  </si>
  <si>
    <t>Integrate with SF &amp; S4. Creation of CC &amp; PC by GF</t>
  </si>
  <si>
    <t>xvi</t>
  </si>
  <si>
    <t>The system must specify whether users from Business Unit A are permitted to view details of officers and demand from Business Unit B</t>
  </si>
  <si>
    <t>xvii</t>
  </si>
  <si>
    <t>The system must be capable of capturing training attendance before it is posted to the Business Unit (BU) and must have the capability to monitor and regulate overtime (OT) hours. If the system is unable to perform these functions, it must be integrated with the Certis system</t>
  </si>
  <si>
    <t>Integrate with Learning &amp; Training Management System (LTMS) &amp; S4
Attendence in LTMS/ S4 can be read in NGRS</t>
  </si>
  <si>
    <t>xviii</t>
  </si>
  <si>
    <t>Qualification/Constraint</t>
  </si>
  <si>
    <t>The system must support the functionality to enable the grouping of qualifications into templates.</t>
  </si>
  <si>
    <t>The system must support and provide categories in qualifications, such as gender, license, nationality, and skillset</t>
  </si>
  <si>
    <t>The system must be capable to identify qualifications as either hard (regulation-based) or soft (client-based).</t>
  </si>
  <si>
    <t>The system must allow users to upload qualifications or supporting documents and automatically updates the mentioned qualifications in NGRS.</t>
  </si>
  <si>
    <t>Usually this is done with checkboxes or dropdowns. for either TRUE or FALSE or multi-select. Document storage would ideally be done in SAP, and WorkAxle would have the effective date and the value of the certification.</t>
  </si>
  <si>
    <t>Integrate with LTMS &amp; S4
Cover under Workflow Approval</t>
  </si>
  <si>
    <t>The system must allow users to view and download officer qualifications from NGRS, based on ID or skill sets.</t>
  </si>
  <si>
    <t>Manager App must be able to view officer Qualifications</t>
  </si>
  <si>
    <t>The system must have the functionality/ features automation of OJT attendance to qualification once approved, utilizing an in-built approval system. For new recruits, the process flows from OJT to qualification, with a push to Certis System and then to NGRS. If not updated in time, it will result in a violation</t>
  </si>
  <si>
    <t>Usually this flows from SAP directly to WorkAxle where we store the final result/qualification/affiliation.</t>
  </si>
  <si>
    <t>The system must have functionality to allow the overriding of constraints and include an in-built approval system with the capability to store supporting documents</t>
  </si>
  <si>
    <t xml:space="preserve">Supporting documents functionality needs to be further elaborated. Overriding is always an option. </t>
  </si>
  <si>
    <t>Need Workflow approval
Storing of supporting doc is optional</t>
  </si>
  <si>
    <t>The system must have the functionality to have an either/or function for constraints</t>
  </si>
  <si>
    <t>The system allows for a configuration table to read qualification groupings related to either/or constraints</t>
  </si>
  <si>
    <t>The system allows for the configuration of fatigue rules for each role, such as a 14-hour fatigue rule for Scheme A</t>
  </si>
  <si>
    <t>The system should update the qualification data in real-time, ensuring that any changes made in Certis Systemare instantly synchronized with NGRS</t>
  </si>
  <si>
    <t>The system ia able to handle the constraints associated with arms-related qualifications</t>
  </si>
  <si>
    <t>The system should enable users to upload and send multiple officers for approval within a specified period. Integrated with Certis System can manage the uploading process to NGRS</t>
  </si>
  <si>
    <t>The system should allow users to set constraints for each organizational unit and enable the selection of different rule sets and approval workflows for each business unit</t>
  </si>
  <si>
    <t>The system should be configurable to add, delimit, or create new constraints based on regulatory bodies' requirements.
1) During monthly rostering, officer assignment to demand, mass upload, or job reconciliation, a hard stop function should be activated if the officer does not meet the hard constraints.
Hard Constraints include:
    MOM Regulations
    PLRD Regulations
    APGD Regulations
    PWM Regulations
    Certis Policy (e.g., CDRC)
    Traffic Police Regulations
Examples of constraints:
a) Driving/Riding License
b) PLRD License Expiry and Notification
c) Regulatory Courses (Qualifications captured in SAP) such as:
       -HCTA/RTT
       -PGPS
       -PAGPD
       -CDRC
d) Casino Regulatory Act
e) Monthly OT Hours (72 hours)
f) Daily Hours (13/14 hours) - system should be configurable
g) Monthly Maximum Hours
h) Weekly hours/Number of maximum working days for Part-Timers
i) D-10 Rest Hours
j) Maximum Number of working days - 12 consecutive days
k) 1 OFF Day per week
l) OFF Day Consent
m) Others"
2) Table to maintain soft/hard constraints
3) In built approval process to overide soft/hard constraints
4) Exception Table / Rule Break to input the period to override soft/hard constraints
5) All constraints should be configureable by product type, scheme, employment status (full/part timer), rank &amp; nationality.</t>
  </si>
  <si>
    <t>Detailed list of applicable contraints with each regulation body would need to be provided and evaluated.</t>
  </si>
  <si>
    <t>The system should be capable of assigning and unassigning tasks, managing off days and overtime, creating absence records, splitting demand, and swapping off days</t>
  </si>
  <si>
    <t>The system should be capable of managing officers deployed to multiple assignments within the same day, such as outrider or outcome-based tasks, all within the working hours</t>
  </si>
  <si>
    <t>The system should be capable of managing redeployment across different sites and handling changes in officer deployment</t>
  </si>
  <si>
    <t>The system should be capable of managing redeployment across the BU Share pool and internal business units</t>
  </si>
  <si>
    <t>The system should have a logic to identify officers who are required to perform overtime after their rostered hours. For example, it should monitor utilization over a 72-hour period. Create a exemption table to allow by employee group, product type and Scheme (pay scale group) to be maintain for their overtime.</t>
  </si>
  <si>
    <t>Need specific information on how this wants to be handled. We have all the components necessary, but workflow may require an extension.</t>
  </si>
  <si>
    <t>The system should provide an alert if an officer is about to exceed a specified number of hours</t>
  </si>
  <si>
    <t>The system should include a monitoring dashboard for deployment status, featuring alerts and call-to-action functions, such as a configurable shortfall dashboard</t>
  </si>
  <si>
    <t>Deployment dashboard is required
Call to action is optional</t>
  </si>
  <si>
    <t>The system should have a feature to recommend officers who are either (i) qualified and available or (ii) qualified but currently deployed to cover a shortfall. Once approved, the system should send a notification to the officer.</t>
  </si>
  <si>
    <t>The system should include a built-in approval system to override constraints and automatically assign officers to meet demand</t>
  </si>
  <si>
    <t>Workflow Approval System</t>
  </si>
  <si>
    <t>The system should read through consent data and enforce limitations on changing off days or assigning overtime if the officer has not provided consent</t>
  </si>
  <si>
    <t>Consent is captured in the employee profile but if explicit ad-hoc consent is needed per action, this needs to be mapped out and would be an extension as part of the implementation.</t>
  </si>
  <si>
    <t>Integrate with Optimax (Time in Time out system)</t>
  </si>
  <si>
    <t>The system should process split demand APO with an additional 30 minutes at the start and end of the shift. The G4-Tolerance setting should ensure that this does not conflict with training attendance, preventing any porting failures</t>
  </si>
  <si>
    <t>Need explicit flow of what this means along with expected outcomes and behaviors in the system.</t>
  </si>
  <si>
    <t>Don't recall covering this case during the starter kit. Would need a reminder of what this entails. Putting "Yes" as it seems like if there is split demand for an APO, it would entail not causing issues with training tasks when it comes to the 30min tolerance at start and end.</t>
  </si>
  <si>
    <t>The system should be capable of managing night shifts, such as from 10 PM to 10 AM, and handling ad-hoc assignments, for example, from 2 AM to 3 AM</t>
  </si>
  <si>
    <t>Previous Day Indicator for Night Shift</t>
  </si>
  <si>
    <t>The system should include the following functionalities:
1) A shared personnel pool function to utilize officers from other departments. For example, BU A officers should be able to support BU B assignments and BU B should be able to assign BU A officers to meet demand.
2) The ability to assign officers who are not mapped in the system. For instance, BU C officers should be able to support BU B assignments, and BU B should be able to assign BU C officers to meet demand, even though BU C currently does not utilize the NGRS System.
3) A feature to create off days and unplanned absences for multiple IDs.
4) The capability to amend officer status from work to off, off to work, off to off-day overtime, and off to unplanned absence.
5) While performing manual toggling, the system should display the officers' existing assignments.
6) Once an officer has been assigned to a task, the system should not allow the removal of the officer from the demand.</t>
  </si>
  <si>
    <t>Point 2 needs to be further explained. A user cant be assigned if they don't exist. Point 6, extension needed to prevent unassignmnent and would need to know if this is overridable.</t>
  </si>
  <si>
    <t xml:space="preserve">1 - N (Recon with eJobcard)
2 - N (Recon with eJobcard)
3 - SX
4 - SX
5 - SX
6 - SX
</t>
  </si>
  <si>
    <t>The system should allow post-day-of-operations amendments, including changes to demand details, working hours, allowances, and the reassignment of officers, within a specific-hour window</t>
  </si>
  <si>
    <t>The system should identify officers who are working but do not have any assigned demand (i.e., user-triggered platform). The app or platform should provide geo-fencing and track the time that staff are on-site working. It should also be able to provide notifications or alerts for time attendance backfill justification</t>
  </si>
  <si>
    <t>Integrate with Optimax (Time in Time out system)
Optimax will send data back to NGRS post event, (ie up to 8-12hrs)</t>
  </si>
  <si>
    <t>The system should be able to block the creation of absences or off days when they overlap with attendance and clocking data. For example, it should prompt a message in NGRS to prevent errors</t>
  </si>
  <si>
    <t>To allow Qualification to be maintain in NGRS</t>
  </si>
  <si>
    <t>Able to read that officer has completed the OJT demand and allow auto upload of qualifications for officer into NGRS to prevent violation ( System approval flow for OJT record update)</t>
  </si>
  <si>
    <t>Offboarding</t>
  </si>
  <si>
    <t>The ssyetm must support end-to-end off-boarding processes and integration with Certis system</t>
  </si>
  <si>
    <t>Break Management</t>
  </si>
  <si>
    <t>The system should manage break schedules as follows: a) Scheme A (APO) requires an 8-hour rest period before the next shift. b) Flexi scheme requires a 1-hour interval before the next shift. c) The system should block shift swaps or change workdays to off days if the criteria are not met, with a push feature to sync the roster.</t>
  </si>
  <si>
    <t>2b.</t>
  </si>
  <si>
    <r>
      <t xml:space="preserve"> Planning.  </t>
    </r>
    <r>
      <rPr>
        <sz val="12"/>
        <color theme="1"/>
        <rFont val="Arial"/>
        <family val="2"/>
      </rPr>
      <t>In terms of functionalities in the roster design and forecasting, the Software shall:</t>
    </r>
  </si>
  <si>
    <t xml:space="preserve">Roster Forecasting.  </t>
  </si>
  <si>
    <t xml:space="preserve"> The solution must able to generate roster patterns that optimise cost-efficiency while ensuring full compliance with applicable industrial instruments</t>
  </si>
  <si>
    <t>More specific information is necessary. High likelyhood that a tailored model along with tailored integration for input parameters is needed.</t>
  </si>
  <si>
    <t>No need Cost efficiency. Regulatory Requirement is a must</t>
  </si>
  <si>
    <t>Can do roster creation and validate that all rosters are compliant. Any non-compliance will be flagged by the system and can be handled by the planners.</t>
  </si>
  <si>
    <t>The solution must dynamically adjust workforce schedules based on forecasted demand (i.e. passenger throughput at a screening point). The system must ensure compliance with all relevant labor regulations and support the creation of cost-effective, efficient rosters that maintain high service standards during varying demand periods.</t>
  </si>
  <si>
    <t>Regulatory Requirement is a must</t>
  </si>
  <si>
    <t>Same as above</t>
  </si>
  <si>
    <t>The solution must enable forecasting of workforce coverage by assessing resource availability for future dates. This should include consideration of approved leave, projected headcount, and historical absenteeism trends to ensure adequate staffing and operational continuity.</t>
  </si>
  <si>
    <r>
      <t>Standard Roster Types</t>
    </r>
    <r>
      <rPr>
        <sz val="12"/>
        <color theme="1"/>
        <rFont val="Arial"/>
        <family val="2"/>
      </rPr>
      <t> </t>
    </r>
  </si>
  <si>
    <t xml:space="preserve">The solution must support the creation and management of configurable roster templates to accommodate a range of operational needs, including rotating shift patterns, demand-driven schedules, standard business weeks, and event- or project-based deployments. </t>
  </si>
  <si>
    <t>Special Roster Types</t>
  </si>
  <si>
    <t>Include capability to create unique roster types:</t>
  </si>
  <si>
    <r>
      <t>Multi Chain Pattern</t>
    </r>
    <r>
      <rPr>
        <sz val="12"/>
        <color theme="1"/>
        <rFont val="Arial"/>
        <family val="2"/>
      </rPr>
      <t xml:space="preserve">  -   Multi Chain Roster Patterns are a specific type of Roster Model that allows employees to switch rosters based on planned demand or workload requirements.  This Roster Model is designed to account for fluctuating coverage requirements from week to week. The Multi-Chain Roster is composed of one or more “demand” rosters, that once built allows for employees to switch throughout each roster based on a defined date driven basis.  This design allows for:</t>
    </r>
  </si>
  <si>
    <t xml:space="preserve">1. Efficient control of employee movement between rosters </t>
  </si>
  <si>
    <t>2. Automatic activation/de-activation of Roster Patterns based on defined dates</t>
  </si>
  <si>
    <t>3. This allows multiple child/sub rosters to be attached to a single master roster. These rosters can then be date triggered based on varying demand. Personnel inherit the same line number in the roster when switching child rosters.</t>
  </si>
  <si>
    <t>Need documented process. May require extension.</t>
  </si>
  <si>
    <t>Split Shift</t>
  </si>
  <si>
    <t>4 The solution must support advanced rostering models that enable flexible scheduling in response to variable demand patterns.
The system must allow automatic activation or deactivation of roster patterns based on planned operational demand.
The solution must enable planners to create optimised rosters that meet operational requirements while minimising labour costs. It should support various workforce types including part-time, casual, resource contractors, and support flexible options such as split shifts.
The solution must support rostering across multiple cost centres, allowing resource sharing and optimisation across business units to improve workforce utilisation.</t>
  </si>
  <si>
    <t>Cost Minimization through Roster Design</t>
  </si>
  <si>
    <r>
      <t>Flexible scheduling</t>
    </r>
    <r>
      <rPr>
        <sz val="12"/>
        <color theme="1"/>
        <rFont val="Arial"/>
        <family val="2"/>
      </rPr>
      <t xml:space="preserve"> – allow Roster Planners various scheduling options including Split Shifts, Part–time work, Resource Contractors, to fill rosters with the lowest cost possible.</t>
    </r>
  </si>
  <si>
    <t>Split Shift
cost not required</t>
  </si>
  <si>
    <t xml:space="preserve">Split shift no problem, cost optimization adds overhead. As mentioned in the Certis remarks, it is not considered as part of this requirement. That being said, we are currently looking at a way to add cost optimization without affecting performance. </t>
  </si>
  <si>
    <t>Business Workflows</t>
  </si>
  <si>
    <r>
      <t>Rule Breaks in Planning</t>
    </r>
    <r>
      <rPr>
        <sz val="12"/>
        <color theme="1"/>
        <rFont val="Arial"/>
        <family val="2"/>
      </rPr>
      <t xml:space="preserve"> – include pre-built and customizable </t>
    </r>
    <r>
      <rPr>
        <u/>
        <sz val="12"/>
        <color theme="1"/>
        <rFont val="Arial"/>
        <family val="2"/>
      </rPr>
      <t xml:space="preserve">workflows </t>
    </r>
    <r>
      <rPr>
        <sz val="12"/>
        <color theme="1"/>
        <rFont val="Arial"/>
        <family val="2"/>
      </rPr>
      <t>for fatigue and skill rule break handling, with both in-application notifications and email-based notifications for rule break approval processes.</t>
    </r>
  </si>
  <si>
    <r>
      <t>Special Roster Rules</t>
    </r>
    <r>
      <rPr>
        <sz val="12"/>
        <color theme="1"/>
        <rFont val="Arial"/>
        <family val="2"/>
      </rPr>
      <t> </t>
    </r>
  </si>
  <si>
    <r>
      <t>1. Fatigue rules</t>
    </r>
    <r>
      <rPr>
        <sz val="12"/>
        <color theme="1"/>
        <rFont val="Arial"/>
        <family val="2"/>
      </rPr>
      <t>  </t>
    </r>
  </si>
  <si>
    <r>
      <t>(a) Mandatory rest period between rostered shifts</t>
    </r>
    <r>
      <rPr>
        <sz val="12"/>
        <color rgb="FF000000"/>
        <rFont val="Arial"/>
        <family val="2"/>
      </rPr>
      <t xml:space="preserve"> (fatigue rules) – capability to configure a rule of minimum hours of rest between rostered shifts (e.g. 8 hours from end of Shift 1 to start of Shift 2)</t>
    </r>
  </si>
  <si>
    <r>
      <t>(b) Limit maximum working hours per cycle (fatigue rules)</t>
    </r>
    <r>
      <rPr>
        <sz val="12"/>
        <color theme="1"/>
        <rFont val="Arial"/>
        <family val="2"/>
      </rPr>
      <t> . - e.g. no more than 60hrs per week. Special rules apply to employee groups e.g. Students, seasonal. In other words, enforce mandatory rest day within a work period  (e.g. 1 rest day per 7 days).</t>
    </r>
  </si>
  <si>
    <r>
      <t>(c) Limit consecutive rostered days (fatigue rules)</t>
    </r>
    <r>
      <rPr>
        <sz val="12"/>
        <color theme="1"/>
        <rFont val="Arial"/>
        <family val="2"/>
      </rPr>
      <t xml:space="preserve">  – capability to configure a rule to limit consecutive rostered days (e.g. maximum of 7 consecutive rostered days)</t>
    </r>
  </si>
  <si>
    <r>
      <t>(d) Limit maximum Overtime (fatigue rules)</t>
    </r>
    <r>
      <rPr>
        <sz val="12"/>
        <color theme="1"/>
        <rFont val="Arial"/>
        <family val="2"/>
      </rPr>
      <t>  – capability to l imit the maximum hours of work to 60hrs per week, or an average of multiples of 60hrs based on Roster Cycle, i.e. 120hrs over 2-week cycle, 180hrs over 3-week cycle, 240hrs over 4-week cycle or 480hrs over an 8-week cycle.</t>
    </r>
  </si>
  <si>
    <t>(e) Fatigue rules shall be configured to apply to a specific group of personnel (e.g., in Singapore daily max 13 hours for scheme B and 14 hours for scheme A)</t>
  </si>
  <si>
    <t>(f) The solution must enforce configurable fatigue management rules.</t>
  </si>
  <si>
    <r>
      <t>5. Unpredictability rules</t>
    </r>
    <r>
      <rPr>
        <sz val="12"/>
        <color theme="1"/>
        <rFont val="Arial"/>
        <family val="2"/>
      </rPr>
      <t xml:space="preserve"> – can automatically fill a roster by selecting one or more employees per product type (e.g. armed guard, service concierge), to form a team assigned to a Task.   The following rules shall apply:</t>
    </r>
  </si>
  <si>
    <t>(a) no officer shall be rostered with the same Team for more than 1 day consecutively.  </t>
  </si>
  <si>
    <t>To integrate with MASS+</t>
  </si>
  <si>
    <t>(b) no officer shall be rostered to the same should be on same demand for more than 1 day consecutively.</t>
  </si>
  <si>
    <r>
      <t>6. Rostering Reserve/Relief employees to fill billable demands</t>
    </r>
    <r>
      <rPr>
        <sz val="12"/>
        <color theme="1"/>
        <rFont val="Arial"/>
        <family val="2"/>
      </rPr>
      <t xml:space="preserve">  – have the capability to automatically roster reserve/relief group of employees into multiple unfilled billable demands without impact on the original reserve/relief shift pattern.</t>
    </r>
  </si>
  <si>
    <t>Manual Toggle</t>
  </si>
  <si>
    <r>
      <t>7. Split rosters across multiple Cost Centres</t>
    </r>
    <r>
      <rPr>
        <sz val="12"/>
        <color theme="1"/>
        <rFont val="Arial"/>
        <family val="2"/>
      </rPr>
      <t>  – have the capability to allow rosters to split across multiple Cost Centres, to allow cross-rostering of employees from one Cost Centre to another to maximise manpower availability. </t>
    </r>
  </si>
  <si>
    <t>8. Blacklist/Whitelist can blacklist/whitelist at various administrative levels e.g., demand/work type, site, client.</t>
  </si>
  <si>
    <t>Need an extension for blacklisting/whitelisting of specific resources based on defined criteria.</t>
  </si>
  <si>
    <r>
      <t>9. Hard-protect roster slot</t>
    </r>
    <r>
      <rPr>
        <sz val="12"/>
        <color theme="1"/>
        <rFont val="Arial"/>
        <family val="2"/>
      </rPr>
      <t>  </t>
    </r>
    <r>
      <rPr>
        <u/>
        <sz val="12"/>
        <color theme="1"/>
        <rFont val="Arial"/>
        <family val="2"/>
      </rPr>
      <t>s</t>
    </r>
    <r>
      <rPr>
        <sz val="12"/>
        <color theme="1"/>
        <rFont val="Arial"/>
        <family val="2"/>
      </rPr>
      <t>.  Ensure that shifts which were assigned based on Shift Swap or Self-Bid methods are NOT subject to change when the roster is re-generated.  These slots are protected from any automatic change.  </t>
    </r>
  </si>
  <si>
    <t>Integrate with Cadence</t>
  </si>
  <si>
    <r>
      <t xml:space="preserve">10. Ability to apply </t>
    </r>
    <r>
      <rPr>
        <u/>
        <sz val="12"/>
        <color rgb="FF000000"/>
        <rFont val="Arial"/>
        <family val="2"/>
      </rPr>
      <t>Global Changes</t>
    </r>
    <r>
      <rPr>
        <sz val="12"/>
        <color rgb="FF000000"/>
        <rFont val="Arial"/>
        <family val="2"/>
      </rPr>
      <t xml:space="preserve"> according to one or more attributes e.g. change shift pattern of all employees belonging to a single product/Position/level type.</t>
    </r>
  </si>
  <si>
    <t>Demand Creation</t>
  </si>
  <si>
    <t>Please provide a detailed description of the various types of demand within the Workforce Scheduling (NGRS) system.</t>
  </si>
  <si>
    <t>Demand can be created ad-hoc, repeating and through integration. The types of demand are unlimited as the demand can be tagged with customizable and/or definable labels to categorize it. There is no limit on the "types" of demand within the system.</t>
  </si>
  <si>
    <t>Just show E2E process only</t>
  </si>
  <si>
    <t xml:space="preserve">Please outline the end-to-end process for configuring new demand within the Workforce Scheduling (NGRS) system, including but not limited to parameters such as 24/7 operations, allowances, time, headcount, gender, nationality, and skillsets </t>
  </si>
  <si>
    <t>When demand is created, can have restrictions or mandatory qualification issued with that demand.</t>
  </si>
  <si>
    <t>The system must have functionality that allows for the creation of backdated work orders, including the ability to create and send them for billing within a 24-hour timeframe</t>
  </si>
  <si>
    <t>Please specify the duration for which the roster allows updates to backdated entries</t>
  </si>
  <si>
    <t>Limits can be put based on Certis' needs.</t>
  </si>
  <si>
    <t>The system must support the capability to accommodate last-minute changes and ensure updates are reflected within the same day.</t>
  </si>
  <si>
    <t>The system must support the functionality that allows for duplicating existing demand, including the ability to insert a validity date.</t>
  </si>
  <si>
    <t>Don't recall wht a "validity date" is but likely not complex enough to change the response from "Yes".</t>
  </si>
  <si>
    <t>The system must support the configuration of constraints and allowances with validity dates to ensure they are applied correctly within the specified time frames</t>
  </si>
  <si>
    <t>In this case it seems like validity date means effective date.</t>
  </si>
  <si>
    <t>The system must support the functionality that allows users to indicate whether a roster entry is PLRD payable at the demand level.</t>
  </si>
  <si>
    <t>APO. Tagging System to handle</t>
  </si>
  <si>
    <t>The system must support the filter functionality that allows the system to generate reports indicating PLRD payments</t>
  </si>
  <si>
    <t>Allow Tagged Demands in to a report</t>
  </si>
  <si>
    <t>The system must support the functionality that allows users to view, edit, and copy expired work orders.</t>
  </si>
  <si>
    <t>The system must support the functionality that allows constraints, allowances, and coverage to be applied to multiple selected work order line items.</t>
  </si>
  <si>
    <t>The system must support the functionality that allows for the grouping of applicable constraints.</t>
  </si>
  <si>
    <t>The system must support the functionality that allows users to create templates for constraints and allowances.</t>
  </si>
  <si>
    <t>The system must support the functionality to differentiate between billable and non-billable demand for clients.</t>
  </si>
  <si>
    <t>Tagging System to handle</t>
  </si>
  <si>
    <t>The system must support the functionality to differentiate between billable demand on permanent and ad-hoc contracts, with view-only access</t>
  </si>
  <si>
    <t>The system must support the functionality to differentiate demand based on product type and rank</t>
  </si>
  <si>
    <t>The system must support the functionality to differentiate between headcount-based and outcome-based demand</t>
  </si>
  <si>
    <t>The system must support the functionality to allow users to identify non-billable demand as buffer demand, on-the-job training (OJT) demand, training demand, or New Hire Induction (NID)</t>
  </si>
  <si>
    <t>xix</t>
  </si>
  <si>
    <t>The system must support the functionality to allocate cost centers to created demand.</t>
  </si>
  <si>
    <t>Tagging System to handle
SF needs to be able to extract the hashtagged demands</t>
  </si>
  <si>
    <t>xx</t>
  </si>
  <si>
    <t>The system must support the functionality to allow the sharing of a pool across different business units (BUs) and supports backdating up to 48 hours, including the ability for users to set a validity date for the shared pool.</t>
  </si>
  <si>
    <t>Daily Recon, integrate with SF</t>
  </si>
  <si>
    <t>xxi</t>
  </si>
  <si>
    <t>The system must support the functionality to automatically create demand with an inbuilt approval system, specifically for On-the-Job Training (OJT), SO Perspective, and Outrider.</t>
  </si>
  <si>
    <t>The system must support the functionality to have the demand tolerance functionality that allows users to set travel parameters based on plant level, customer, demand, officer ID level, and product type</t>
  </si>
  <si>
    <t>The system must support the functionality to identify the business unit (BU), segment, or division to which a specific demand belongs, including functionality that allows users to self-group officers.</t>
  </si>
  <si>
    <t>The system must support the functionality that allows users to group roster entries</t>
  </si>
  <si>
    <t>The system must support the functionality that allows tagging of roster entries with details such as geo-fencing, facial recognition of assignments, addresses, and grouping of assignments across multiple sites.</t>
  </si>
  <si>
    <t>Integrate with Optimax</t>
  </si>
  <si>
    <t>The system must support the functionality of the system that allows users from Business Unit A to view and amend demand from Business Unit B, including the ability to share roster functions if required</t>
  </si>
  <si>
    <t>The system must support the functionality that restricts CRP (resource partner) users to view only their own roster, unless additional permissions are granted</t>
  </si>
  <si>
    <t>The system must support the functionality that allows for the creation of last-minute (day-of-operations) demand</t>
  </si>
  <si>
    <t>The system must support the functionality that provides alerts for newly published or expiring demand, such as through email or Argus notifications</t>
  </si>
  <si>
    <t>Notifications can be via NGRS Manager App</t>
  </si>
  <si>
    <t>The system must support the functionality that allows for the amendment of existing demand, including changes to allowances, shift patterns, rank, and coverage</t>
  </si>
  <si>
    <t>The system must support the functionality that allows for the creation and amendment of backdated demand</t>
  </si>
  <si>
    <t>The system must support the functionality that allows demand to be filtered or separated based on criteria such as skillsets, regulatory minimum requirements, or contractual obligations (e.g., 1 in 10 employees must hold a specific license)</t>
  </si>
  <si>
    <t>Would need to know the list of "contractual obligation" types/possibilities.</t>
  </si>
  <si>
    <t>The system must support the functionality that enables the system to automatically tag mandatory constraints based on product type and skill set (e.g., rider) during the creation of demand</t>
  </si>
  <si>
    <t>Tag with Basic Constraints</t>
  </si>
  <si>
    <t>The system must be capable of managing unplanned changes to permanent assignments, such as changes in location, duty post, or shift timing for a particular date</t>
  </si>
  <si>
    <t>The system must include an identifier to determine the Tier level of sites</t>
  </si>
  <si>
    <t>The system must support the functionality that allows the assignment of an operations unit in charge by plant, planner group, and demand for reporting purposes</t>
  </si>
  <si>
    <t>Auto sending of reports to relevant supervisor</t>
  </si>
  <si>
    <t>The system must support the functionality that allows users to create a single billable contract covering multiple locations.</t>
  </si>
  <si>
    <t>The system must support the functionality to handle outcome-based, utilization-based, recurring, and ad-hoc demands</t>
  </si>
  <si>
    <t>Adhoc Demands Only</t>
  </si>
  <si>
    <t>Agreed with Certis remarks. Other type of demand will be sent to WorkAxle via integration.</t>
  </si>
  <si>
    <t>The system must support the functionality that provides training schedule validation, including hours achieved, overtime, and fatigue management, and its synchronization with SAP.</t>
  </si>
  <si>
    <t>The system must support the functionality that allows for automated team formation based on predefined rules, such as skill sets, the number of staff per team, regulatory compliance, and frequent rotation of team members</t>
  </si>
  <si>
    <t>Integrate with MASS+</t>
  </si>
  <si>
    <t>Scalable/Customisable Priority listing for demands. I.e When booking for training demand to 'override working demand/off day"</t>
  </si>
  <si>
    <t>integrate with LTMS &amp; S4
Training takes priority.
Allow manual overide/amendment</t>
  </si>
  <si>
    <t>Agreed with Certis remarks.</t>
  </si>
  <si>
    <t>Allow customisable demands for both billable and non-billable demands which is translatable to billing, scalable to create whole month or individual demand</t>
  </si>
  <si>
    <t>Roster timing able to amend base on client requirement on daily basis.Refer to dynamic rostering</t>
  </si>
  <si>
    <t>Allow amendment in timing</t>
  </si>
  <si>
    <t>Rostering Logic</t>
  </si>
  <si>
    <t>The system must validate all scheduled training against regulatory requirements and overtime constraints to ensure compliance before deployment.</t>
  </si>
  <si>
    <t>Potential extensions as part of our planning algorithm.</t>
  </si>
  <si>
    <t>When auto-rostering takes place, can make it that scheduled training is not overwritten and that everything follows regulatory requirements.</t>
  </si>
  <si>
    <t>The system must ensure that staff receive at least one rest day per week and must not work more than 12 consecutive days within a two-week period.</t>
  </si>
  <si>
    <t>The system must support the configuration of maximum working hours per day based on employee groups and product types, with the ability to differentiate by different schemes or product types</t>
  </si>
  <si>
    <t>The system must support the calculation of 72-hour overtime methodology for different schemes or product types.</t>
  </si>
  <si>
    <t>The system need to ensure compliance with Auxiliary Police Officer (APO) APGD D10 (Regulatory) by mandating a minimum of 8 hours of rest between each working shift. *Police Licensing and Regulatory Division (PLRD), Police Force Act(PFA) and Auxiliary Police General Directive (APGD).</t>
  </si>
  <si>
    <t>The system must ensure the definition of a shift must align with S4 HANA standards, such as 0001 to 2359 or specific shifts like 8pm to 8am</t>
  </si>
  <si>
    <t>Align with SF/ S4</t>
  </si>
  <si>
    <t>The system must support the Employee Group Flexi is provided with a minimum of 1 hour of rest between shifts. To provide Employee Group Flexi an option if to deduct a minimum 1hr of rest between shift.</t>
  </si>
  <si>
    <t>The system must support automatic roster splitting when switching from roster 1 to roster 2</t>
  </si>
  <si>
    <t>The system must support the specify allowances based on product type, employee group, and scheme within the same demand/roster</t>
  </si>
  <si>
    <t>The system must support the implementation of the daily and weekly checks to ensure that resignees are removed from the roster and demand.</t>
  </si>
  <si>
    <t>The system must support to ensure that any changes to officer or roster timings made mid-month are consistently applied to subsequent days.</t>
  </si>
  <si>
    <t>The system must support allowance configuration that calculates allowances on an hourly basis, such as working hours.</t>
  </si>
  <si>
    <t>Tag Paycode &amp; send hours worked to SF/S4 for payment
SF/S4 does time Eval &amp; Payroll</t>
  </si>
  <si>
    <t>The system must support allowance approval process that requires certain roles to approve allowances. These roles should also have the capability to archive unwanted or expired requests</t>
  </si>
  <si>
    <t>Yes as was described in startkit.</t>
  </si>
  <si>
    <t>The system must support customizable rostering logic, allowing for different overtime hour calculations for schemes A and B, as well as distinguishing between contractual hours and overtime hours.</t>
  </si>
  <si>
    <t>The system must support that roster and time evaluation are consistent, including substitution (work schedule rule).</t>
  </si>
  <si>
    <t>Time Eval &amp; Subsitution done in SF/S4</t>
  </si>
  <si>
    <t>The system must support Flexi and part-time employees must adhere to different regulatory rules, such as not working more than 3 days or 12 hours per week, and not exceeding 35 hours per week (e.g., 6 days at 4 hours each)</t>
  </si>
  <si>
    <t>The system must allow bypassing regulatory or contractual requirements if the exception table is updated. Updates to the exception table must be routed for approval</t>
  </si>
  <si>
    <t>For Flexi and part-time employees, if they work more than the regulatory hours, the system should be able to generate a report comparing actual hours worked against regulatory hours. The excess hours should be automatically populated into an incentive and paid to the staff</t>
  </si>
  <si>
    <t>The system must allow for OFF Day Consent. If consent is not given, users will not be permitted to swap their off days. There should also be an option to select the year.</t>
  </si>
  <si>
    <t>Integrate w/ Optimax</t>
  </si>
  <si>
    <t>The system must allow Flexi employees to book jobs in advance and automatically prompt them to acknowledge if they exceed the allowed hours, which may be subject to incentives</t>
  </si>
  <si>
    <t>The system must allow for configurable meal break hours, such as providing a 1-hour meal break for every 10 hours worked.</t>
  </si>
  <si>
    <t>xxii</t>
  </si>
  <si>
    <t>The system must support a bypass configuration table with an approval flow for the aforementioned or customized logics</t>
  </si>
  <si>
    <t>Can always override, but a "bypass configuration table" would need to have a more formal description for behavioral expectations. Need documented process. May require extension.</t>
  </si>
  <si>
    <t>xxiii</t>
  </si>
  <si>
    <t>The system must be capable of recognizing hours to be included in total hours calculation. For example, absence hours should be excluded, rest days should be calculated at 2.0x for the first 8 hours, off days at a rate of 1.5x, and public holidays should be counted as an extra day's fixed pay</t>
  </si>
  <si>
    <t>xxiv</t>
  </si>
  <si>
    <t>The system must support both maximum and minimum contractual hours logic. Based on the number of days in a calendar month, Scheme A staff can work up to a certain number of contractual hours, after which any additional hours will be considered overtime. Similarly, for minimum contractual hours, the system should provide prompts, either through color highlights or other forms of notification.</t>
  </si>
  <si>
    <t>Will need aditional information on how prompts should behave.</t>
  </si>
  <si>
    <t xml:space="preserve">Cathy - can you think how we might do this? The employee could be linked to an agency/contractor using a UDF or home location etc… but per scenario above, if they belong to 2 contractors.. Can we still somehow report which contractor rostered them to the shift? Actual hours worked will be costed per client per contractor. Should be no issues with this requirement. </t>
  </si>
  <si>
    <t>xxv</t>
  </si>
  <si>
    <t>The system must support configurable Off Day rules based on officer schemes. For example, if an officer under Scheme A is scheduled for training on an off day, the system should recognize and include the training hours as normal paid hours. For Scheme B, while the hours are similarly captured, they must be paid at 1.5x or 2x the standard rate, depending on the configured entitlement</t>
  </si>
  <si>
    <t>Rostering</t>
  </si>
  <si>
    <t>Requirement: End-to-End Auto Rostering Process
The system must provide a comprehensive end-to-end process for auto rostering, including demand-based rostering, officer-based rostering, and event-based rostering. Additionally, the system must have the capability to roster by groups, which can be categorized by assignment, officer, or operational unit.</t>
  </si>
  <si>
    <t>The system must support auto rostering with flexible frequency options, including daily, weekly, monthly, and ad-hoc scheduling.</t>
  </si>
  <si>
    <t>The system must have the capability to auto-generate rosters with flexible timeframes, including weekly, monthly, 3 months, and 6 months in advance.</t>
  </si>
  <si>
    <t>Up to 3months Rostering</t>
  </si>
  <si>
    <t>The system must allow for the manual triggering of rosters. It should support automated rostering based on shift patterns and product types. Additionally, new joiners who start mid-week or mid-month must be automatically rostered without disrupting the existing roster. The system must also ensure compliance with regulatory requirements.</t>
  </si>
  <si>
    <t>The system must support the generation of backdated rosters, allowing for retroactive scheduling up to 2 months in the past.</t>
  </si>
  <si>
    <t>The system must utilize various parameters and logic to perform monthly rostering. These include employee group, product type, rank, constraints, monthly or daily maximum hours, and blacklisting.</t>
  </si>
  <si>
    <t>The system must be capable of identifying which demand to assign to Officer A. It should support rostering by operational unit or through whitelisting.</t>
  </si>
  <si>
    <t>The system must verify the qualification expiry dates while performing monthly rostering. Additionally, qualifications must be checked daily during automated rostering.</t>
  </si>
  <si>
    <t>The system must ensure that regulatory hours, which include both working hours and absent hours, add up to a total of 238 hours. Any excess will be considered overtime. Additionally, HL/MC hours should be treated as contractual hours. The calculation for contractual hours must differ from the calculation for overtime.</t>
  </si>
  <si>
    <t>The system must verify the last day of service while performing monthly rostering. It should automatically remove subsequent officer rosters if a staff member is offboarded.</t>
  </si>
  <si>
    <t>Repeated. Refer to Rostering Item iii</t>
  </si>
  <si>
    <t>The system must automatically remove employees from the generated roster if there are any changes to their qualification expiry date, qualification revocation, work permit expiration, or employee contract expiration.</t>
  </si>
  <si>
    <t>The system must determine the officer shift sequence and specify the dates for Officer A's off days. It should support customizable shift patterns, such as WWOOWW or WWWOWWWWO. If the shift pattern breaches regulatory constraints or hours, the system must prompt for action, such as removing the last few days or adjusting the deployment to comply, while also allowing the acceptance of higher hours if necessary.</t>
  </si>
  <si>
    <t>The system must determine officer shifts, including day, night, and other shift types. This should be facilitated through a user-friendly interface, such as a dashboard or portal.</t>
  </si>
  <si>
    <t>The system must be capable of assigning Certis Staff IDs to resource contractor (RC) staff and linking this information to SAP. For part-timers, the system should onboard them as full-timers and ensure that rostering complies with regulatory requirements for their employee group. Additionally, the system must allow part-timers to book available shifts and schedule reports to be sent to the operational unit.</t>
  </si>
  <si>
    <t>The system must have the capability to automatically roster new recruits who are posted mid-month.</t>
  </si>
  <si>
    <t>The system must automatically remove officers from the roster if they are banned from an assignment. This includes:
    Tier 1: Officers who cannot work at all.
    Tier 2: Officers who can be blacklisted by customers or certain sites. If an armed officer is debarred from carrying arms, they can still be deployed to unarmed assignments without violating regulations.</t>
  </si>
  <si>
    <t>As mentioned above, blacklisting/whitelisting functionality requires extension.</t>
  </si>
  <si>
    <t>The system must be able to accept a grouping of one or more product types and ranks/employee groups with a trailing requirement. Additionally, the system should generate reports to show the differences.</t>
  </si>
  <si>
    <t>Need to define "trailing requirement". May require extension.</t>
  </si>
  <si>
    <t>Would still need specifics around what a "trailing requirement" is. Likely remains a Yes.</t>
  </si>
  <si>
    <t>The system must ensure that if an officer's hours exceed 72 hours during rostering, the process must stop until the day that exceeds the limit. For manual entries, the system should block further rostering. In cases of exemptions, there must be a separate table to input the exemption period, staff ID, group, demand, product type, scheme, and assignment. Additionally, the system should provide a dashboard or report showing the overtime hours plus the roster for the month, including tolerance and confirmed hours.</t>
  </si>
  <si>
    <t>The system should include a Digital Twin feature to perform simulations of rosters, such as changes in shift patterns or cost simulations, without affecting the existing roster</t>
  </si>
  <si>
    <t>This is possible with viewing auto-assignment runs but no formal "digital twin".</t>
  </si>
  <si>
    <t>Allow new shift patterns to be experimented in test Server</t>
  </si>
  <si>
    <t>The system must be capable of automatically assigning off days to officers to ensure full optimization. This should be done according to the number of off days per week, with a maximum of 2 off days per week for each officer. For CAS, the system should ensure no more than 3 off days per week.</t>
  </si>
  <si>
    <t>Don't most officers have predefined rosters which include "off" days such as WWWWOO? Or is this specifically for non-predefined rostered officers. Either way, can likely meet the requirement even if additional work is needed.</t>
  </si>
  <si>
    <t>The system must be capable of reading data from third-party sources, such as OFF Day Consent, while performing the monthly roster run. This includes integration with systems like Allegro, TITUS, AEMS, Argus, and Cadence, with the data reflecting in NGRS.</t>
  </si>
  <si>
    <t>To Integrate with Certis Apps</t>
  </si>
  <si>
    <t>The system must be capable of managing the reserves roster by automatically rostering standby officers into unfulfilled demands after the core officers have been fully deployed.</t>
  </si>
  <si>
    <t>The system must be capable of selectively rostering only ground officers, even if all employees (including ground and management staff) are onboarded in NGRS, based on the employee group.</t>
  </si>
  <si>
    <t>The system must be capable of reading all staff qualifications during rostering, regardless of whether they are onboarded in NGRS or not. Additionally, the system should integrate with Certis System to manage training and licenses.</t>
  </si>
  <si>
    <t>Repeated. Refer to rostering item xi</t>
  </si>
  <si>
    <t>The system must be capable of running a roster by officer ID, such as for new officers, without affecting the existing roster. It should automatically roster new officers without disrupting the current schedule.</t>
  </si>
  <si>
    <t>xxvi</t>
  </si>
  <si>
    <t>The system must be capable of running dynamic or outcome-based rosters based on client requirements. For example, it should be able to schedule different off-day patterns, such as having Saturdays off at the beginning and end of the month, and Sundays off in between.
Attach examples such as Custom Roster (CLS) and CAS, which illustrate different shift timings within the shift cycle.</t>
  </si>
  <si>
    <t>Automatic shift-creation is already possible. If this is about distributing the shifts to people in a way where OFF days are handled compliantly that would be possible. An example would be helpful. Either way, it is within the realm of problems that we solve.</t>
  </si>
  <si>
    <t>xxvii</t>
  </si>
  <si>
    <t>The system must have an alert function to inform officers who have failed to be rostered into a demand and remain in an available status.</t>
  </si>
  <si>
    <t>Manager App to see which officer are not roster</t>
  </si>
  <si>
    <t>xxviii</t>
  </si>
  <si>
    <t>The system must have an alert function to inform officers who are underutilized or overutilized. According to officer contracts, groups of officers need to meet a minimum contractual working hours per month. The system should generate reports comparing officers' upcoming deployment with their available status versus the working hours achieved. Additionally, a dashboard should flag any discrepancies.</t>
  </si>
  <si>
    <t>Notifications can be via NGRS Employee App</t>
  </si>
  <si>
    <t>xxix</t>
  </si>
  <si>
    <t>The system must be capable of managing mass roster changes, such as when a site is dismounted, officers are redeployed to another assignment, or there is a change in shift patterns.</t>
  </si>
  <si>
    <t>xxx</t>
  </si>
  <si>
    <t>The system must be capable of identifying when a roster needs to be regenerated due to changes in allowance, coverage, or demand location. For example, while a change in allowance may not necessitate regeneration, a change in shift pattern would require the roster to be regenerated.</t>
  </si>
  <si>
    <t>Possible, but would require lots of testing to cover all edge cases. Requirement is vague given how large this scope can be. Can drill down into this during workshops.</t>
  </si>
  <si>
    <t>xxxi</t>
  </si>
  <si>
    <t>The system must have a logic for equal overtime allocation during rostering. For example, in a monthly roster run with 69 hours of overtime, the system should distribute the overtime equally across the roster. Moving forward, the system should also consider optimizing shift hours or shift patterns.</t>
  </si>
  <si>
    <t>xxxii</t>
  </si>
  <si>
    <t>Alert and Reminder System: The system should be capable of alerting or reminding users when billable demand has not yet been fulfilled. These alerts or reminders should continue until the due date is reached.
Dashboard Flagging: The system's dashboard should have the capability to flag any unfulfilled demand, providing a clear visual indication of outstanding items.</t>
  </si>
  <si>
    <t>Flag in Dashboard &amp; Manager App</t>
  </si>
  <si>
    <t>Certis remarks are accurate.</t>
  </si>
  <si>
    <t>xxxiii</t>
  </si>
  <si>
    <t xml:space="preserve">
Overtime Alert System: Once the roster is generated, the system should be capable of sending alerts to available officers to perform overtime and cover any planned shortfall. This includes automatically prompting officers, especially part-timers, for job bidding.
Shortfall Detection and Notification: The system should detect any shortfall and send notifications to qualified staff to fill the job.
Outcome-Based Reminders: The system should provide reminders about the shortfall specifically for part-timers.</t>
  </si>
  <si>
    <t>This would be covered by open-shift functionality.</t>
  </si>
  <si>
    <t>Flag in Dashboard &amp; Integrate with Cadence, flag in Cadence</t>
  </si>
  <si>
    <t>xxxiv</t>
  </si>
  <si>
    <t>Automatic Off Day Creation: The system should automatically create off days for officers identified as resigning, starting from a specified number of days before their last working day. The logic should ensure that officers do not work on their last day.
Overtime Management: The system should manage overtime for resigning officers, ensuring that they do not exceed 44 hours of work in the last three days before their resignation.</t>
  </si>
  <si>
    <t>xxxv</t>
  </si>
  <si>
    <t>Amendable Work Item Location: The system should allow the location of demand or work items to be amended after creation. This includes accommodating last-minute changes to the roster on the same day.
Last-Minute Location Updates: The system should support last-minute changes in the longitude and latitude of work item locations.</t>
  </si>
  <si>
    <t>Backdating Capability: The system should allow for the creation and amendment of records to be backdated.</t>
  </si>
  <si>
    <t>Cross-Business Unit Officer Allocation: The system should allow Share Pool officers to be allocated to different business units as needed.</t>
  </si>
  <si>
    <t>Intelligent Auto-Rostering: The system should be capable of automatically generating rosters. It must be smart enough to detect officers' qualification and license expiry dates, ensuring that officers are only rostered up to one day before their qualifications or licenses expire.</t>
  </si>
  <si>
    <t>Minor extension to add one-day before logic.</t>
  </si>
  <si>
    <t>Automatic Removal of Subsequent Rosters: The system should have the logic to automatically remove all subsequent rosters for an officer if they are revoked, terminated, or otherwise no longer eligible to work.</t>
  </si>
  <si>
    <t>Repeated. Refer to Rostering Item xii</t>
  </si>
  <si>
    <t>New Joiner Roster Management: The system should allow the creation of rosters for new joiners who are pending qualification. This includes managing skillsets and licenses, and generating blank rosters for internal demand.
Non-Constraint Demand Handling: The system should be capable of handling non-constraint demand, ensuring flexibility in roster management.</t>
  </si>
  <si>
    <t>The system enables the locking of the roster or the implementation of a freezing window within the roster</t>
  </si>
  <si>
    <t>The system allows for self-service rostering for various internal functions, such as the ad-hoc assignment of officers to operational units. Through the BU Internal Share Pool, supervisors can access officers and assign them to ad-hoc tasks</t>
  </si>
  <si>
    <t>Manager Portal to do toggling</t>
  </si>
  <si>
    <t>Correct, managers will be able to toggle this.</t>
  </si>
  <si>
    <t>The system supports multiple sites and ensures a minimum charge of 4 hours to the customer for rostering and billing purposes, specifically for customer traffic</t>
  </si>
  <si>
    <t>Tagging System to Handle</t>
  </si>
  <si>
    <t>The system allows for mass changes in the roster, including the manual adjustment of officer rosters</t>
  </si>
  <si>
    <t>The system should be configurable to add, delimit, or create new constraints based on regulatory bodies' requirements.
1) During monthly rostering, officer assignment to demand, mass upload, or job reconciliation, a hard stop function should be activated if the officer does not meet the hard constraints.
Hard Constraints include:
    MOM Regulations
    PLRD Regulations
    APGD Regulations
    PWM Regulations
    Certis Policy (e.g., CDRC)
    Traffic Police Regulations
Examples of constraints:
a) Driving/Riding License
b) PLRD License Expiry and Notification
c) Regulatory Courses (Qualifications captured in SAP) such as:
       -HCTA/RTT
       -PGPS
       -PAGPD
       -CDRC
d) Casino Regulatory Act
e) Monthly OT Hours (72 hours)
f) Daily Hours (13/14 hours) - system should be configurable
g) Monthly Maximum Hours
h) Weekly hours/Number of maximum working days for Part-Timers
i) D-10 Rest Hours
j) Maximum Number of working days - 12 consecutive days
k) 1 OFF Day per week
l) OFF Day Consent
m) Others"
2) Table to maintain soft/hard constraints
3) In built approval process to overide soft/hard constraints
4) Exception Table / Rule Break to input the period to override soft/hard constraints
5) All constraints should be configureable by product type, scheme, employment status (full/part timer), rank &amp; nationality.</t>
  </si>
  <si>
    <t>Need documented rules that are applicable. May require extension.</t>
  </si>
  <si>
    <t>Repeated. Refer to Qualification/Constraint item xv</t>
  </si>
  <si>
    <t>The system must support the rostering and attendance tracking of personnel on light duty assignments. Personnel on light duty are to be scheduled under standard office hours, which differ from their regular shift patterns. This attendance must be clearly distinguished from normal shift-based working hours and appropriately reflected in the system, including assignment and reporting functionalities</t>
  </si>
  <si>
    <t>The system should allow the user to send notification to various groups for flexis acknowledgement to work more than 35 hrs but less than 44 hrs. Hence, System validation to confirm the acknowledgement and also block if no acknowledgement for that period (configuration by week block).</t>
  </si>
  <si>
    <t>Allow for extraction of roster in a scalable UI format for ground supervisors to have oversight</t>
  </si>
  <si>
    <t>Dynamic Rostering - Allow shifting of x number of officer to 'early reporting', varies for each day.</t>
  </si>
  <si>
    <t>Use separate Internal demand</t>
  </si>
  <si>
    <t>System to have optimised coverage to meet assignment specific parameter</t>
  </si>
  <si>
    <t>CRP officer to have same rostering logic with organic(By employee group/type)</t>
  </si>
  <si>
    <t>Not sure what "organic" entails. Likely not a complex requirement.</t>
  </si>
  <si>
    <t>Job schedule should be able to have a 5.5days coverage and if the day is a PH, the coverage will be reduced.</t>
  </si>
  <si>
    <t>Part of demand object and public holiday demand setting.</t>
  </si>
  <si>
    <t>Automated rostering to cater to changes in reporting locations for the same assignment islandwide which client will only give notification 3 days in advance, i.e day 1 at City Hall MRT, day 2 at Raffles place MRT</t>
  </si>
  <si>
    <t>Can run auto-assign ad-hoc any time even if on same day or 3 days in advance.</t>
  </si>
  <si>
    <t>Allowance &amp; Incentive</t>
  </si>
  <si>
    <t>The system should allow for the tabulation of allowances based on working hours performed or demand. For MRS, allowances are based on demand, with HR setting up allowance codes, considering factors such as nationality and skillset constraints.
Detail requirements:
1) The system should be configurable by product type, scheme, employment status (part-time/full-time), rank, and nationality.
2) Allowances should be tagged to either the officer or the job.
3) A specific allowance amount ($x) should be paid if an officer works on Saturday, and a different amount ($Y) if the officer works on both Saturday and Sunday in the same assignment.
4) An exemption table should be available to exclude officers based on scheme, rank, PWM status, and nationality.
5) Different allowance amounts should be paid for weekday work ($x) and weekend work ($y) within the same assignment.
6) Full-time officers should receive a festive incentive if they work on any demand on stipulated days.
7) The system should allow tagging allowances to expired demands.
8) Special allowances should be configurable for specific days or dates, allowing for an increase from $X to $Y for particular days/dates.
9) Specific officers deployed in the same area should receive a certain allowance ($x), while others working on the same assignment may not be entitled.
10) Allowances should be paid out by product type, for example, only to full-time officers in the SO product.
11) An urgent activation allowance should be paid if officers are recalled to cover shortfalls.
12) Allowances should be classified and tabulated on an hourly, daily, or monthly basis.
13) Other allowances should include completion bonuses, festive incentives, and urgent activation allowances.
14) The system should allow for the amendment of allowances on the actual day with approval.
15) The system should be configurable to ensure that even if two officers have the same skill set, rank, and product type, only one may receive the allowance.
16) HQ reserved allowances should be supported.</t>
  </si>
  <si>
    <t>The system allows for the configuration of allowance eligibility based on product type, skill set, nationality, rank, and employment status (full-time or part-time)</t>
  </si>
  <si>
    <t xml:space="preserve">Repeated. Refer to 2b Allowance &amp; Incentive point i </t>
  </si>
  <si>
    <t>The system allows for the configuration of allowance eligibility based on whether the allowance is payable daily, monthly, or hourly</t>
  </si>
  <si>
    <t>The system allows for the configuration of incentive eligibility based on specific days or dates, as well as within a defined period of time (e.g., completion bonuses, festival incentives</t>
  </si>
  <si>
    <t>The system allows for configuring allowances to be paid to officers deployed at a specified number of sites or more (Reserves allowance). Additionally, it supports manual updates.</t>
  </si>
  <si>
    <t>The system processes allowances and specifies the frequency of payments, such as weekly for part-time employees and monthly for full-time employees.</t>
  </si>
  <si>
    <t>The system allows for the backdating of allowances</t>
  </si>
  <si>
    <t>The system includes a built-in approval system that allows for the tagging or delimiting of allowances to demand with automation</t>
  </si>
  <si>
    <t>Part of demand object and workflow.</t>
  </si>
  <si>
    <t>The system must support the functionality to allow the creation of templates for allowances</t>
  </si>
  <si>
    <t>The system allows for the amendment of allowances both before and after allowance configuration, including back-payment and clawback</t>
  </si>
  <si>
    <t>The system is capable of providing projected costs when allowances are tagged</t>
  </si>
  <si>
    <t>The system will facilitate the management of allowance updates and the associated approval process</t>
  </si>
  <si>
    <t xml:space="preserve">To indicate daily allowance officer worked for </t>
  </si>
  <si>
    <t>Currently 1 lump sum, prefer to see by per day</t>
  </si>
  <si>
    <t>Resource Partner &amp; System</t>
  </si>
  <si>
    <t>The system should provide Certis Resource Partners with access to the NGRS system</t>
  </si>
  <si>
    <t>The system should store Certis Resource Partner officer data, including qualifications and licenses.</t>
  </si>
  <si>
    <t>The system should facilitate the rostering, assigning, and updating processes for Certis Resource Partner to roster the staff.</t>
  </si>
  <si>
    <t>The system should identify which demands, duty posts, or assignments have been seconded to Certis Resource Partner</t>
  </si>
  <si>
    <t>System should be able to include the tolerance hours (travelling time) that have been set during the tolerance configuration when tabulating the total payable hours
Example:
a. Contractual Hours: 0800-2000
Tolerance Set: 30 mins planned start time/30 mins planned end time
Clock In/Out: 0745-2045
Payable: 0745 - 2030
b. Contractual Hours: 0800-2000
Tolerance Set: 30 mins planned start time/30 mins planned end time
Clock In/Out: 0715-2015
Payable: 0730- 2015
c.Contractual Hours: 0800-2000
Tolerance Set: -1 mins planned start time/1 mins planned end time
Clock In/Out: 0815-2015
Payable: 0815- 2000hrs
d.Contractual Hours: 0800-2000
Tolerance Set: -1 mins planned start time/1 mins planned end time
Clock In/Out: 0715-1945
Payable: 0800- 1945hrs
e. Contractual Hours: 0800-2000
Tolerance Set: 0 mins planned start time/ 0mins planned end time
Clock In/Out: 0715-1945
Payable: 0800- 2000hrs
3) System to guard the daily max hours and maximum hours for both system/manual reconciliation</t>
  </si>
  <si>
    <t>Not Required for RCMS. Only for FT/PT Certis staff</t>
  </si>
  <si>
    <t>The system should allow access and assignment of shifts to Resoure Partner</t>
  </si>
  <si>
    <t>The system should restrict access so that each Resource Partner can only view their own roster and manage their rostering, assignment, and demand reconciliation.</t>
  </si>
  <si>
    <r>
      <t>User Management:</t>
    </r>
    <r>
      <rPr>
        <sz val="12"/>
        <color rgb="FF000000"/>
        <rFont val="Arial"/>
        <family val="2"/>
      </rPr>
      <t xml:space="preserve">
1. Create, edit, delete, and view permissions based on user roles.
2. Multi-factor authentication for secure access.</t>
    </r>
  </si>
  <si>
    <t>Security and Compliance:
Authentication:
Multi-factor authentication for all users.
Regular password updates.
Authorization:
Role-based access control.
Audit logs for all actions.
Data Protection:
Encryption of sensitive data.
Regular backups and data recovery plans.</t>
  </si>
  <si>
    <t>Resource Partner Registration
1. Online registration form for vendors.
2. Required documentation upload (e.g., business licenses, certifications).
3. Automated verification process.</t>
  </si>
  <si>
    <t>Onboarding Process of Resource Partner
1. Initial assessment and approval workflow.</t>
  </si>
  <si>
    <t>Resource Partner Information Management
Vendor Profiles:
1. Detailed resource partner profiles including contact information, and compliance status etc.
2. Ability to update and maintain resource partner information.
Document Management:
1. Secure storage for resource partner-related documents.
2. Document expiration alerts and renewal reminders.</t>
  </si>
  <si>
    <r>
      <t>Bid Management:
Bid Creation and Submission
1. User-friendly interface for creating and editing bids.
2. Templates for standard bid formats.
3. Customizable fields for specific bid requirements.
4. Secure online submission portal.
5. Automated confirmation and receipt of bid submissions.
6. Deadline tracking and reminders.</t>
    </r>
    <r>
      <rPr>
        <u/>
        <sz val="12"/>
        <color rgb="FF000000"/>
        <rFont val="Arial"/>
        <family val="2"/>
      </rPr>
      <t xml:space="preserve">
Bid Tracking and Management
1. Approval, cancellation of bids.
2. Real-time tracking of bid status (e.g., submitted, under review, awarded, rejected).
3. Notifications for status changes.
4. Comprehensive history of all bids submitted.
5. Access to past bid documents and evaluations.
6. Converting of bids to assignments after awarding the bids.</t>
    </r>
  </si>
  <si>
    <t>Assignment Creation and Management
1. User-friendly interface for creating and editing assignments.
2. Customizable fields for assignment details (e.g., title, description, mounting date).
3. Review and approval workflow.
4. Submission and updating of documents.
5. Create assignment for specific resource partner.
6. Real-time tracking of assignment status (e.g., pending document, pending signature, allocation assigned).
7. Notifications for status changes.
8. Renewal of existing assignments.
9. Creation of educational qualifications.</t>
  </si>
  <si>
    <t>Officer Management:
1. Online registration form for new officers with detailed officer profiles including contact information, rank, department and certifications.
2. Ability to update, maintain and view officer information.
3. Required documentation upload (e.g., identification, certifications).
4. Automated verification process.
5. Creating of Certis staff ID after accepting the officer.
6. Edit officer's status such as blacklisted, unassign.
7. Assigning shift (s) to individual officer.
8. Shift scheduling and management.
9. Update educational qualifications such as skillsets.
10. Update regulatory qualifications such as security license expiry, AO application, AO cessation, LTA AO, medical records for officers who are 60 years old &amp; above.
11. Document expiration alerts and renewal reminders for educational and regulatory qualifications.
12. Update Certis internal qualifications such as induction attendance and OJT dates.
13. Extract and Export Site and Officer Deployment Data as CSV file.
14. Create a summary report that lists officers with expired qualifications.
Include relevant details such as the type of qualification, expiration date, and any actions taken or required.</t>
  </si>
  <si>
    <t>Attendance Verification
1. Import and Display Attendance Data from Certis attendance system.
2. Flag discrepancies between Attendance Data and Officer Site Deployment Data.
3. Allow Resource Partners to verify Attendance Data in the system.
4. Allow Resource Partners to appeal Attendance Data discrepancies in the system.
5. Auto generation of Liquidated Damages and Credit Notes based on verified Attendance Data
6. Auto generation of Notices based on Mounting Start Date, Contractual Rates, Liquidated Damages and Credit Notes.
7. Liquidated Damages Waiver and approval workflow
8. Manage statuses of these Invoices and initiate payment to Resource Partners.</t>
  </si>
  <si>
    <t>Payment and Invoicing
1. Payment Processing and Invoice approval workflow to integrate with Certis Procurement process.</t>
  </si>
  <si>
    <t>System can assign shifts to RC vendors and don need to recreate in RC modules. Restrict the visibility of employees by contractor and then visibility of models assigned by contractor.</t>
  </si>
  <si>
    <t>AI Enhancement</t>
  </si>
  <si>
    <t>The NGRS system will utilize AI to consolidate all planned and actual day shortfall data based on the final reconciled roster. It will then automatically send the final shortfall status to the Management Staff</t>
  </si>
  <si>
    <t>To be evaluated.</t>
  </si>
  <si>
    <t>The NGRS system's AI will consolidate all shortfalls across the BU and propose available, qualified, and cost-effective officers in real time</t>
  </si>
  <si>
    <t>Cost Effective in realtime not required</t>
  </si>
  <si>
    <t>The NGRS system's AI will inform the Planning Manager and Ops Planner in real time about the reasons why an officer cannot be rostered or assigned to a demand. It will also propose follow-up actions to ensure the officer can be assigned accordingly</t>
  </si>
  <si>
    <t>The system should feature a Digital Twin with AI capabilities to propose optimal shift schedules. This will dynamically adjust the roster to prevent over or under-utilization</t>
  </si>
  <si>
    <t>Not a formal "digital twin" but simulations can be run and the ideal one can be selected and applied to the master schedule.</t>
  </si>
  <si>
    <t>The system should have AI enabled feature to assist in optimizing team rotations</t>
  </si>
  <si>
    <t>This is mathematical modeling and algorithms that we already leverage.</t>
  </si>
  <si>
    <t>The system should be AI-enabled, integrating all sources into a unified platform with an alert and call-to-action feature. When the AI detects any discrepancies from any of the sources, the platform will send a notification or alert to the officer, supervisor, and command post</t>
  </si>
  <si>
    <t>Cadence to handle</t>
  </si>
  <si>
    <t>The system should be AI-enabled to track officer arrivals at sites using various peripherals/systems. For example, in the case of APO deployment, an alternative method to determine an officer's location could be tracking their firearms</t>
  </si>
  <si>
    <t>The system should be AI-enabled to pre-empt and alert supervisors about expiring qualifications or officers who have yet to attend certain courses</t>
  </si>
  <si>
    <t>WorkAxle can show expiring certifications, the actual dependancy would come from the HRIS/HRMS.</t>
  </si>
  <si>
    <t>Alert from LTMS</t>
  </si>
  <si>
    <t>The system should be AI-enabled to alert supervisors in real time if deployed officers are approaching their maximum monthly hours.</t>
  </si>
  <si>
    <t>Rule based, alert supervisor at 95% of max threshold hours</t>
  </si>
  <si>
    <t>The system should be AI-enabled to provide predictive analysis by analyzing previous year data for comparison and recommendations (e.g., manpower, duty posts, absences). It should propose alternative roster and deployment plans during festive periods to minimize shortfalls and recommend the ideal number of Certis Resource Partners required to mitigate the shortfall</t>
  </si>
  <si>
    <t>Generate reports on Potential shortfalls due to shift/ roster unable to fulfil</t>
  </si>
  <si>
    <t>The original requirement is too broad. As for Certis Remarks, yes we can provide reports on shortfalls from the past that were not able to be filled.</t>
  </si>
  <si>
    <t>The system should feature AI capabilities to forecast any assignments that may face manpower shortages (e.g., new mounting, attrition, Variation Order requests). It should also trigger an automatic request to IRH to ensure assignments are fully staffed before the designated day</t>
  </si>
  <si>
    <t>The system should feature AI capabilities to identify available and qualified officers and propose alternative rostering and deployment options during peak periods to minimize operational disruptions to existing permanent operations. It should also include a Cost Benefit Analysis for the different options within the BU to fulfill the requirement</t>
  </si>
  <si>
    <t>The system should feature an AI-enabled chatbot to provide supervisors with the required details</t>
  </si>
  <si>
    <t>The system should feature an AI-enabled chatbot to provide answers and follow-up actions required by officers, such as queries on payroll, deployment, and rostering matters.</t>
  </si>
  <si>
    <t>The system should feature an AI-enabled bot to vet the supporting documents and, once verified, process the changes accordingly</t>
  </si>
  <si>
    <t>The system should feature an error detection mechanism with a notification system to alert officers about attendance discrepancies, such as those identified after end-of-shift checks</t>
  </si>
  <si>
    <t>Require the AI to inform staff who fail to time in/out</t>
  </si>
  <si>
    <t>To alert &gt;3 consecutive off days(Notification to supervisor)</t>
  </si>
  <si>
    <t>Report to inform supervisor who have more than 3 offdays</t>
  </si>
  <si>
    <t>Roster optimisation able to indicate or flag requirement for posting prioritisation(System to detect the holding officer pool vs assignment for upcoming posting /recruitment)</t>
  </si>
  <si>
    <t>Feature Enhancement</t>
  </si>
  <si>
    <t>The system must support updates to PWM/ Apollo/ APGD rostering  logic for various attributes such as Nationality, Position, and Ranks. For example, the logic for SG PR SO/AVSO will need to be modified accordingly</t>
  </si>
  <si>
    <t xml:space="preserve">The system should incorporate changes to the part-time rostering logic. For example: (a) It should control part-time work days and hours within a week. </t>
  </si>
  <si>
    <t>The system should enable users to insert rosters for roles after a prefixed freezing window within the current month and allow configuration on the Prefixed window.</t>
  </si>
  <si>
    <t>The system should maintain logs for hard constraint data in SAP. Additionally, it should implement a logic to automatically re-activate hard constraints if the active date changes from 31.12.9999 to any date after 'n' days.</t>
  </si>
  <si>
    <t>Would need an example of what this looks like end-to-end as it has more to do with integration logic than system logic.</t>
  </si>
  <si>
    <t xml:space="preserve">The system should include part-time rostering logic changes to accommodate exigency demands. With approval, part-time employees can exceed a certain hours and number of days per week, Configurable table for inputs and seek approval from workflow. </t>
  </si>
  <si>
    <t>Would need to get whole flow for this during workshop but is within scope.</t>
  </si>
  <si>
    <t>The system should support the attempt time to be capture from Time attendance system will be available when the roster is updated within N hour. Validation of geo-location of the roster should be supported. When the roster is insert N hour, the backfill  of the attempt time will be inserted as clock-in/out time as reconciliation.</t>
  </si>
  <si>
    <t>The system should enable the download of an audit trail for changes to tolerance in demand. This audit trail should include: a. Details of the changes made, including the original and new tolerance levels. b. The date when the tolerance was changed. c. The personnel responsible for making the changes</t>
  </si>
  <si>
    <t>Report for Audits</t>
  </si>
  <si>
    <r>
      <t xml:space="preserve">The system should effectively detect Potential Missing Arms (PMA) cases with the transition from </t>
    </r>
    <r>
      <rPr>
        <sz val="12"/>
        <color rgb="FFFF0000"/>
        <rFont val="Arial"/>
        <family val="2"/>
      </rPr>
      <t xml:space="preserve">Workato (SAP middleware) </t>
    </r>
    <r>
      <rPr>
        <sz val="12"/>
        <color rgb="FF000000"/>
        <rFont val="Arial"/>
        <family val="2"/>
      </rPr>
      <t>to AEMS</t>
    </r>
  </si>
  <si>
    <t>Notified in Manger Portal</t>
  </si>
  <si>
    <t>Agreed with Certis Remarks.</t>
  </si>
  <si>
    <t>The system should support integration between Cadence and rostering and allow certain feature as booking of shift , swap feature and change of work to off or cancellation of shift. Data should be sync between the 2 platforms</t>
  </si>
  <si>
    <t>The system should allow manual sync from Roster to Cadence, this should also include the porting of any assigned officer's ID and the associated constraints/allowances that were created</t>
  </si>
  <si>
    <t>The system should automatically align betwen billable time with planned internal demand to minimize the need for manual entries (if there is no clock in/out for split roster, system should recognise multiple roster to confirm the time attendance)</t>
  </si>
  <si>
    <t>if 5 split work shift, staff just need to time in at start of work and time out when finished work. In between system will auto filled in based on planned time</t>
  </si>
  <si>
    <t>Yes exactly, Certis Remarks is accurate. The type of time will determine if it is billable or not (internal). The punch is just to start/end the overall shift.</t>
  </si>
  <si>
    <t>The system should support NGRS Sliding Window adjustments, enabling the creation of demand or rosters within 7 days and the insertion of officers 7 days post-deployment (affliated with 301)</t>
  </si>
  <si>
    <t xml:space="preserve">The system should be capable of setting demand tolerance based on employee type. For example, part-time and full-time employees may share the same demand roster. This feature aims to reduce manual amendments in job confirmation by allowing the system to identify tolerance by employee type </t>
  </si>
  <si>
    <t>The system should integrate e-jobcard and e-PARCS timing updated for officer time automatically with reference to the tolerance (customisable)</t>
  </si>
  <si>
    <t>The system should include a logic check validation of the roster hours for officer when a user attempts to book a training. For example, a message should pop up to block the user from creating the booking if a violation has occurred. The violiation message should appear clearly on the error details. Report to be available to retieve the error of booking and details.</t>
  </si>
  <si>
    <t>The system should automatically send reminder emails to users when roster is nearing expiration to reduce the need for manual billing (email and configuable recipents), exclusion by Planner group, work item level, demand item.</t>
  </si>
  <si>
    <t>send to manager portal</t>
  </si>
  <si>
    <t>The system should allow users to upload pre-planned overtime to demand, with checks against their Titus timing and NGRS system tolerance for job confirmation. This feature should support uploading overtime before PST and after PET to the main demand</t>
  </si>
  <si>
    <t>The system should identify demand constraint types when sending data to Titus. It should differentiate demand based on arm constraints, apoe constraints, and other types</t>
  </si>
  <si>
    <t>APO monitoring</t>
  </si>
  <si>
    <t>The system should include logic to block changes to OFF days if Titus consent has not been obtained. This hard stop will prevent operations planners from amending an officer's off day (i.e., amend off day/off overtime) if the officer has not provided the required OFF Day Consent</t>
  </si>
  <si>
    <t>Repeated. Refer to 2b rosteringpoint xxi</t>
  </si>
  <si>
    <t>The system should include a Business Continuity Plan (BCP) to safeguard against operational or regulatory lapses. This plan should involve daily pushes of MRS/SAP details to SharePoint or email. The BCP should cover the following: a) Monthly Roster b) Off day counter - to guard against 12 consecutive days c) Achieved vs Maximum Hours - to guard against 72 hours breach, 35 hours breach, and D10 rule d) Officer Qualification e) Demand Constraint"</t>
  </si>
  <si>
    <t>WorkAxle has it's own BCP in line with ISO and SOC standards. As for a specific BCP for Certis' needs, it seems like the data that is needed in the reports should be pushed regularly. In this case, similar to report visualizations, it is recommended to use a dedicated BI and/or a Data Warehouse tool. Pulling all the data regularly ensures having all data on hand in the event of the system being inaccessible. This is the standard procedure in most enterprise organizations. If Certis does not have or plan to have a data warehouse, this is something we can look to help achieve but is usually handled directly on the business side.</t>
  </si>
  <si>
    <t>The system should include AEMS Draw Arm Timing and TATS (Transport Attendance Tracking System) in the Dashboard.</t>
  </si>
  <si>
    <t>viewoin one dashboard</t>
  </si>
  <si>
    <t>The system should automatically convert attendance into qualification and send a notification to the supervisor to confirm completion</t>
  </si>
  <si>
    <t>The system should include data from audit checks in reports, reconciliation time attendance and the remarks column (dropdown and others (free text) in job confirmations. This will allow visibility of all timestamp changes for user modifications to the demand.</t>
  </si>
  <si>
    <t>The system should integrate Allegro e-leave to block off days. For example, the staff has apply leave in allegro, the system should block before &amp; after the off day. It should prevent users from rostering officers on off days if there is a planned absence registered before the off day.</t>
  </si>
  <si>
    <t>maybe from SF</t>
  </si>
  <si>
    <t>The system should send notifications for any internal/ roster demand that has been created with apparoval workflow.</t>
  </si>
  <si>
    <t>The system should allow users to view the full roster of one/more officer on one page, featuring a new UI/UX for roster view. (view/ download by groups)</t>
  </si>
  <si>
    <t>to view in manager portal</t>
  </si>
  <si>
    <t>The system should support mass creation/ deletion of officers to OFF/ absence.</t>
  </si>
  <si>
    <t>The system should enable the multi-selection of demand IDs for coverage updates. This functionality will allow users to mass tag constraints, allowances, or amend coverages for multiple selected demands</t>
  </si>
  <si>
    <t>The system should facilitate the transfer of training attendance records from Certis Academy Time tracking System (CATTTS) to NGRS and SAP HR. This includes handling scenarios where training occurs between shifts for APO due to G4 tolerance collisions. Additionally, the system should ensure that the system ported attendance is accurately reflected in SAP HR via job confirmation, even when existing CATTS attendance records are present in SAP HR</t>
  </si>
  <si>
    <t>integration to LTMS</t>
  </si>
  <si>
    <t xml:space="preserve">The system should include a minimum 44-hour check in a week for Scheme B and allow for download of report. </t>
  </si>
  <si>
    <t>Report to check who iswork less than 44 hours per week.</t>
  </si>
  <si>
    <t>The system should enable job confirmation searches for multiple person IDs or across all plants, rather than on a plant-by-plant basis. This will allow operations planners to process job confirmations for multiple IDs simultaneously, rather than one at a time.</t>
  </si>
  <si>
    <t>Blacklist officer to planner group</t>
  </si>
  <si>
    <t>Repeated under 2b Planning Part VI</t>
  </si>
  <si>
    <t>The system should include an allowance approval page with archive features. It should have an archive/delete function for unwanted or expired demand items in the 'Allowance Approval list.' Additionally, the archive list on the same page should have a dropdown feature that can either show or hide the list</t>
  </si>
  <si>
    <t>Repeated under 2a Part V</t>
  </si>
  <si>
    <t>the system to block manual toggle of officer that was black listed</t>
  </si>
  <si>
    <t>The system should allow the bypassing of hard constraints via the manage roster constraints toggle for a single requested officer ID, rather than unlocking all demand items for the day.</t>
  </si>
  <si>
    <t>The system should ensure that the maximum allowable payable hours for flexi shifts is 12 hours after meal breaks. If officers have multiple short shifts in a day without at least an 8-hour break between them, SAP HR will not deduct any meal breaks, which could risk exceeding the 12-hour limit. Additionally, the maximum allowable roster hours should be configurable by employee group. The flexi roster should also include at least a 1-hour interval between each shift if there is more than one shift per day, configurable at the plant level</t>
  </si>
  <si>
    <t>The system should define MC as applicable for 24 hours of the day and replace it with 11 hours (Scheme A) or 8 hours (for other schemes) of paid hours as per regulations. This logic should not be incorrectly applied to night shift rosters where shift timings span across two days. Additionally, the system should prevent the incorrect deletion of training or adhoc deployment attendance upon the insertion of MC status</t>
  </si>
  <si>
    <t>Integrate with SF.
Time Eval done by SF/S4</t>
  </si>
  <si>
    <t>The system should allow for post-deployment fencing and prompt a pop-up message to alert operations when removing an officer who has already clocked in and out via Titus</t>
  </si>
  <si>
    <t>Officer worked. Don allow removal officer with Clock IN/Out timing or prompt confirmation alert</t>
  </si>
  <si>
    <t>The system should include a daily auto-rostering feature, primarily for new staff joining from CCU to BU. It should target officers who join the company in the middle of the month, identify those who are still under available status, and automatically roster them into demand</t>
  </si>
  <si>
    <t>The system should allow for the updating of longitude and latitude instead of Titus to accommodate early Titus backfill. This includes long lat tagging and radius functionality</t>
  </si>
  <si>
    <t>The system should automate the generation of missing daily rosters. If a daily roster is missing due to demand creation during backend scheduling, the system should automatically generate it</t>
  </si>
  <si>
    <t>The system should have Report of amendment that cause back payment</t>
  </si>
  <si>
    <t>Report format. Input by supervisor</t>
  </si>
  <si>
    <t>The system should have Report for comparation between Titus and rostering system on available and absent status e.g. TITUS record have been captured however the roster could be deleted and therefore the report will need to reflect the discrepancy</t>
  </si>
  <si>
    <t>The system should read qualifications from individual groupings instead of Qualification ID (QID). It should check officer qualification references based on qualification groupings rather than individual QIDs</t>
  </si>
  <si>
    <t>Integrated with LTMS</t>
  </si>
  <si>
    <t>The system should allow setting individual expiration dates for coverage, constraints, and shift patterns. Additionally, it should include expiration dates for demand details</t>
  </si>
  <si>
    <t>System to have dashboard and report for Duty post coverage and quantity report</t>
  </si>
  <si>
    <t>Repeated. Refer to Qualification/Constraint - Dashboarding item xvi</t>
  </si>
  <si>
    <t>The system should allow filtering for individual functions to include multiple plant selections, thereby incorporating data from multiple plants.</t>
  </si>
  <si>
    <t>The system should allow officers to have individual rosters to prevent monthly re-runs from affecting other officers who already have the correct roster.</t>
  </si>
  <si>
    <t>The system should read constraint values to handle validation, ensuring that constraints are checked for general data.</t>
  </si>
  <si>
    <t>Repeated. Check against contrainst vs demands</t>
  </si>
  <si>
    <t>The system should include an enhancement for bypassing hard constraints. This feature should allow requests to be routed to a dedicated person, such as a leave approver, for approval managed in an external system. Additionally, users should be able to upload proof of the bypass, which will be submitted via the MRS bypass request and routed to the external system for the approver to review and take action</t>
  </si>
  <si>
    <t>Repeated. Workflow approval system</t>
  </si>
  <si>
    <t>The system will enable the MRS roster tolerance and scheme to be transferred, with a daily trigger hour</t>
  </si>
  <si>
    <t>Auto routing function (Leave approver &amp; or chief) in outsystem for hard constraints bypass request. Allowing submission of attachment from MRS request for bypass request. (affliateted 348)</t>
  </si>
  <si>
    <t>Allow amendment of tolerance via planner group(by customer/aissgnment)</t>
  </si>
  <si>
    <t>Allow mass assign of tolerance via demand ID(by customer/aissgnment)</t>
  </si>
  <si>
    <t>Tolerance to follow ejobcard timing(Extension duty)</t>
  </si>
  <si>
    <t>To indicate which constraint was violated upon rostering, and to flag to related party for follow up(Report to show such violation)</t>
  </si>
  <si>
    <t>Hard block rostering 24hrs shift for officer e.g. whitelist officer for day shift demand item but officer get rostered into same date for both day and night shift.</t>
  </si>
  <si>
    <t>To capture also prompt error if officer clock in for duty without roster</t>
  </si>
  <si>
    <t>2c.</t>
  </si>
  <si>
    <r>
      <t xml:space="preserve">Delivery.  </t>
    </r>
    <r>
      <rPr>
        <sz val="12"/>
        <color theme="1"/>
        <rFont val="Arial"/>
        <family val="2"/>
      </rPr>
      <t>In terms of delivering filled rosters and supporting day-of-ops, the Software shall:</t>
    </r>
  </si>
  <si>
    <t>Basic Scheduling Capabilities</t>
  </si>
  <si>
    <t>The solution must support the creation, modification, and publication of employee rosters for individuals or groups across multiple operational units with varying business rules. It must accommodate updates to draft or published rosters over different timeframes (e.g., from a specific date onward or for a defined period) to maintain flexibility and operational continuity.</t>
  </si>
  <si>
    <t>The system must support the creation and assignment of both simple and complex work patterns. These patterns should be applicable to individual employees or groups, with flexibility to accommodate varied roles, sites, or classifications.</t>
  </si>
  <si>
    <t xml:space="preserve">
The solution must provide visibility into forecasted demand, roster shortfalls, and unallocated shifts, enabling proactive workforce planning and timely resolution of coverage gaps.</t>
  </si>
  <si>
    <t>When viewing the roster, visual notifications are displayed for open slots, and messages are displayed below the roster showing how many slots were created and filled.</t>
  </si>
  <si>
    <t>The system must support the generation of cost-effective rosters by forecasting roster costs, including allowances, loadings, and overtime. It should promote fair and equitable distribution of work hours across the workforce, ensuring minimum target hours are met while reducing reliance on overtime. Where applicable, the system should highlight scheduling options with or without rule breaks to support informed decision-making.</t>
  </si>
  <si>
    <t>Some elements are included here, but proactive costing before rosters are created creates an exponentially complex problem to solve while keeping the software fast. Roster costing is usually once roster is assigned and/or published, not beforehand.</t>
  </si>
  <si>
    <t>The solution must support rule-driven automation for shift allocation, considering factors such as skills, availability, cost, qualifications, hours worked, and policy compliance. It should allow prioritisation of best-fit candidates for each shift based on configurable criteria.</t>
  </si>
  <si>
    <t>Same as above, cost inclusion during this process (especially since there are such a volume of compliance rules and categories, becomes an exponentially large problem space to solve). Most of the other elements are taken into account, but cost is challenging while keeping the solution optimized for speed. As technology advances, this will likely change and machines will likely be able to solve larger problem spaces in a shorter amount of time.</t>
  </si>
  <si>
    <t>Create and assign work patterns to an individual employee or to a group of employees in mass (e.g., to all officers at the same site)</t>
  </si>
  <si>
    <t>Auto assign work patterns from an interface 
The solution must support the import and update of rosters via external sources (e.g., spreadsheets or third-party systems), allowing flexibility in how rosters are created or maintained.</t>
  </si>
  <si>
    <t>Work patterns can be assigned on logging into our solution from your PC, Laptop or tablet</t>
  </si>
  <si>
    <t>Allow Mass Upload</t>
  </si>
  <si>
    <t>The system must provide real-time notifications to roster planners for actions such as unallocated shifts, absences, no-shows, and policy violations (e.g., overtime breaches), supported by configurable workflows for approvals or overrides</t>
  </si>
  <si>
    <t>The ability to manage baseline staffing requirements is supported in SAP F&amp;S by defining staffing headcount requirements and shifts into models.</t>
  </si>
  <si>
    <t>Not exactly notifications but visual indicators and clear visuals that ensure that everything remains compliant. Functionally achieving the same thing. The issue with notifications at volume is that they become overwhelming and users suffer from "notification fatigue" where they no longer pay attention to them.</t>
  </si>
  <si>
    <t>11. Optimize schedules to reduce overtime and fill unplanned gaps with qualified employees.</t>
  </si>
  <si>
    <t>The system should enable automated call-outs or shift offers, using preferred contact methods (e.g., phone, SMS, email), and apply defined criteria such as skill match, availability, cost, and fatigue to ensure rapid, compliant shift filling.</t>
  </si>
  <si>
    <t>Shift-bidding functionality permits this. May require minor extension.</t>
  </si>
  <si>
    <t>Integrate with Cadence &amp; RCMS Via API</t>
  </si>
  <si>
    <t>13. Generate call-out lists based on skills, costs, and fitness for duty and automatically contacts employees via their preferred contact method (phone, email, and/or text message).</t>
  </si>
  <si>
    <t>Employees are notified through email and/or push notifications</t>
  </si>
  <si>
    <t>14. Allows unlimited call-out lists.</t>
  </si>
  <si>
    <r>
      <t xml:space="preserve">15. </t>
    </r>
    <r>
      <rPr>
        <u/>
        <sz val="12"/>
        <color theme="1"/>
        <rFont val="Arial"/>
        <family val="2"/>
      </rPr>
      <t>Automatically</t>
    </r>
    <r>
      <rPr>
        <sz val="12"/>
        <color theme="1"/>
        <rFont val="Arial"/>
        <family val="2"/>
      </rPr>
      <t xml:space="preserve"> Identifies the best-fit employees and fill open shifts based on one or more pre-defined criteria, in a prioritized manner to allow Roster Planner to select the best-fit employee</t>
    </r>
  </si>
  <si>
    <t>e.g. First by skills-qualified, then by least cost, then by least hours worked.</t>
  </si>
  <si>
    <t>Repeated see item 15.</t>
  </si>
  <si>
    <t>16. Schedule employees in compliance with overtime rules based on seniority and other complex union requirements.</t>
  </si>
  <si>
    <t>17. Prompt/Notify Roster Planner to action on unallocated shifts.</t>
  </si>
  <si>
    <t>18. Mark Absent or No Show, where shift is unallocated or reassigned.</t>
  </si>
  <si>
    <t xml:space="preserve">
The system must enforce qualification and compliance rules at the time of shift execution, not just at the roster creation stage. It must prevent scheduling of unqualified personnel unless a configured exception process (workflow/approval) is in place.</t>
  </si>
  <si>
    <t xml:space="preserve">
The system must support the configuration and enforcement of business rules and legislative requirements, including those related to fatigue, overtime limits, industrial awards, EBAs, and other employment conditions. Exception handling workflows must be available for managing rule breaks and approvals.</t>
  </si>
  <si>
    <r>
      <t>Other Scheduling Capabilities</t>
    </r>
    <r>
      <rPr>
        <sz val="12"/>
        <color theme="1"/>
        <rFont val="Arial"/>
        <family val="2"/>
      </rPr>
      <t> </t>
    </r>
  </si>
  <si>
    <r>
      <t>1. Delivery with cost optimisation</t>
    </r>
    <r>
      <rPr>
        <sz val="12"/>
        <color theme="1"/>
        <rFont val="Arial"/>
        <family val="2"/>
      </rPr>
      <t xml:space="preserve"> – in the delivery of rosters and day-of-ops roster adjustments, calculate the forecasted roster costs (inclusive of allowance, loading and overtime) of   available options, presenting roster options with and without rule breaks.</t>
    </r>
  </si>
  <si>
    <r>
      <t>2. Fair and equitable rostering</t>
    </r>
    <r>
      <rPr>
        <sz val="12"/>
        <color theme="1"/>
        <rFont val="Arial"/>
        <family val="2"/>
      </rPr>
      <t xml:space="preserve"> – include capabilities to manage a fair and equitable roster such that all employees share the available work hours and fulfill the minimum target hours, while minimizing overtime hours.</t>
    </r>
  </si>
  <si>
    <r>
      <t>3. Draft Roster Publishing</t>
    </r>
    <r>
      <rPr>
        <sz val="12"/>
        <color theme="1"/>
        <rFont val="Arial"/>
        <family val="2"/>
      </rPr>
      <t xml:space="preserve"> – publish rosters up to 12 months in advance (and select rosters to be published to employees)</t>
    </r>
  </si>
  <si>
    <r>
      <t>4. Roster change management</t>
    </r>
    <r>
      <rPr>
        <sz val="12"/>
        <color theme="1"/>
        <rFont val="Arial"/>
        <family val="2"/>
      </rPr>
      <t xml:space="preserve"> – allow draft rosters to be updated in the following ways:</t>
    </r>
  </si>
  <si>
    <t>(a) Update ALL future rosters</t>
  </si>
  <si>
    <t>(b) Update rosters for a specific period ONLY (or from a specific date ONWARDS).</t>
  </si>
  <si>
    <r>
      <t>5. Manual roster upload</t>
    </r>
    <r>
      <rPr>
        <sz val="12"/>
        <color theme="1"/>
        <rFont val="Arial"/>
        <family val="2"/>
      </rPr>
      <t xml:space="preserve">    – support manual upload of a roster, created via a third party software e.g. Microsoft Excel, in the creation of a new roster and in amending an existing roster.</t>
    </r>
  </si>
  <si>
    <r>
      <t>6. Qualifications</t>
    </r>
    <r>
      <rPr>
        <sz val="12"/>
        <color theme="1"/>
        <rFont val="Arial"/>
        <family val="2"/>
      </rPr>
      <t>.  Restrict  rostering of personnel without the required qualification(s), with rule break(s) possible with workflow for approval/over-ride. Qualifications rules must be applied on day of shift and not day-of-roster creation.  </t>
    </r>
  </si>
  <si>
    <t>Repeated for regulatory checks</t>
  </si>
  <si>
    <r>
      <t>Day-of-Ops management</t>
    </r>
    <r>
      <rPr>
        <sz val="12"/>
        <color theme="1"/>
        <rFont val="Arial"/>
        <family val="2"/>
      </rPr>
      <t>  – include solutions to manage real-time, day-of-ops activities:</t>
    </r>
  </si>
  <si>
    <t>1. Monitoring of time attendance</t>
  </si>
  <si>
    <t>2. Re-assignment of unfilled shifts to employees, re-assign OFF Days.     </t>
  </si>
  <si>
    <t>3. Shift-splitting to maximise workforce availability.    </t>
  </si>
  <si>
    <t>4. Call-to-action – alerts and notifications to ops planners, with deep-linking of action buttons to actionable pages within the Software.</t>
  </si>
  <si>
    <t>The solution must support real-time operational management by enabling visibility and responsiveness to workforce activity on the day of operation. It should include capabilities to monitor attendance, reassign shifts or rest days, and optimise workforce deployment through dynamic actions such as shift splitting. The system must provide actionable alerts and notifications with intuitive navigation to relevant functions, supporting timely decision-making and operational continuity.</t>
  </si>
  <si>
    <t>Special scenarios for time attendance</t>
  </si>
  <si>
    <t>1/) The solution must support multi-location time tracking, enabling employees to clock in and out at different operational points (e.g., base and work site) as part of a standard workflow, with accurate recording of all attendance events.
2. The solution must support both personal and fixed-site time and attendance options, including mobile devices, clock terminals, desktops, or tablets. Clocking functionality should be accessible in all typical operational environments.
3. The system must support geo-fencing to restrict or validate clocking within designated areas, and include facial recognition or equivalent biometric tools to reduce the risk of fraudulent clocking.
4. The system must provide alternative methods for time capture when primary clocking mechanisms fail, including manual reporting or administrator override, to maintain continuity in time records.</t>
  </si>
  <si>
    <r>
      <t>Frontliner Mobility Solutions(Mobile App) - Work Schedule Management</t>
    </r>
    <r>
      <rPr>
        <sz val="12"/>
        <color rgb="FF000000"/>
        <rFont val="Arial"/>
        <family val="2"/>
      </rPr>
      <t>, the software shall have the capability to enable frontline employees to:</t>
    </r>
  </si>
  <si>
    <t>1. View own rosters up to 30 days.</t>
  </si>
  <si>
    <t>2.	View own profiles (including qualifications) and update certain fields (e.g. contact number, email).</t>
  </si>
  <si>
    <t>3.	Accept or reject additional shifts (bid for shifts) as offered by Roster Planner.</t>
  </si>
  <si>
    <t>Integrate with Cadence for shift bidding</t>
  </si>
  <si>
    <t>4.	View own leave calendar and submit leave day applications (different types of leave days shall be catered for).</t>
  </si>
  <si>
    <t>Integrate with Allegro or SF/S4</t>
  </si>
  <si>
    <t>5.	View an annual summary of leave, including key totals such as any carryover from prior year, annual entitlement, time off used to date, approved future time off, remaining balance for the year based on all the above, and future time off pending approval.</t>
  </si>
  <si>
    <t>6.	Indicate availability and work-hour preferences.</t>
  </si>
  <si>
    <t>7.	As part of Day-of-Ops, submit absences/unavailability/sick days, with document
proof e.g. doctor’s letter.</t>
  </si>
  <si>
    <t>8.	Initiate and accept employee-to-employee shift swaps (with admin-configurable criteria for swap and auto-approve rules).</t>
  </si>
  <si>
    <t>Integrate with Cadence for shift Swapping</t>
  </si>
  <si>
    <r>
      <t>Frontliner Mobility Solutions(Mobile App) - Time Attendance</t>
    </r>
    <r>
      <rPr>
        <sz val="12"/>
        <color rgb="FF000000"/>
        <rFont val="Arial"/>
        <family val="2"/>
      </rPr>
      <t>, the software shall have the capability of:</t>
    </r>
  </si>
  <si>
    <t>1.	Both personal (mobile) and fixed-site (desktop, clock terminals, mobile tablet) Time and Attendance solutions for all rostered employees to perform clock in-out.</t>
  </si>
  <si>
    <t>2.	Employees view own timesheets.</t>
  </si>
  <si>
    <t>3.	Facial recognition to mitigate fraud.</t>
  </si>
  <si>
    <t>4.	Geo-fencing constraints of clocking activities to mitigate fraud, employee can be notified or prevented when clocking in/out are outside of a defined area.</t>
  </si>
  <si>
    <t>5.	All solutions to have backup clock in/out reporting function for employees who
fail to clock in/out due to e.g., lack of/poor network connectivity, faulty clocking device, forgot own credentials.</t>
  </si>
  <si>
    <r>
      <t>Frontliner Mobility Solutions(Mobile App) - Communications</t>
    </r>
    <r>
      <rPr>
        <sz val="12"/>
        <color rgb="FF000000"/>
        <rFont val="Arial"/>
        <family val="2"/>
      </rPr>
      <t>, the software shall have the capability of:</t>
    </r>
  </si>
  <si>
    <t>1.	Generate and broadcast communications in the system, in text and also in form of file attachments.</t>
  </si>
  <si>
    <t>2.	Offers standard survey templates (e.g., employee satisfaction, incident reports, etc.).</t>
  </si>
  <si>
    <t>3.	Schedule recurring communications as reminders, targeting specific employee groups/rosters.</t>
  </si>
  <si>
    <t>4.	Record of “read/unread status” of communications send to users.</t>
  </si>
  <si>
    <t>5.	Enable re-send/reminders to users with “unread” status of communications sent.</t>
  </si>
  <si>
    <t>In-built chat but no read receipts, but can be added as extension work.</t>
  </si>
  <si>
    <t>6.	Maintain a log of all communications.</t>
  </si>
  <si>
    <r>
      <t>Frontliner Mobility Solutions(Mobile App) - Proof of service</t>
    </r>
    <r>
      <rPr>
        <sz val="12"/>
        <color rgb="FF000000"/>
        <rFont val="Arial"/>
        <family val="2"/>
      </rPr>
      <t>, the software shall have the capability of an end-to-end frontline task management service which includes:</t>
    </r>
  </si>
  <si>
    <t>1. A form builder to create forms which will be used to capture task-related information.</t>
  </si>
  <si>
    <t>2. Record of information in the form of text, photos and videos.</t>
  </si>
  <si>
    <t>3. Workforce monitoring – able to monitor location of staff while performing their tasks.</t>
  </si>
  <si>
    <t>Would need to extend beacon functionality to have dashboard of live location tracking with beacons.</t>
  </si>
  <si>
    <t>The mobile solution must interface 2 way with the roster solution , SAP Employee Central and Operations system so that it enable employees to:</t>
  </si>
  <si>
    <t>1.View personal rosters and leave calendars</t>
  </si>
  <si>
    <t>2.Indicate availability and work-hour preferences</t>
  </si>
  <si>
    <t>3.Accept, reject, or bid for offered shifts.</t>
  </si>
  <si>
    <t>4. Initiate or accept peer shift swaps, subject to configurable rules and approval settings</t>
  </si>
  <si>
    <t>5.Submit real-time absence notifications (e.g., sick days), including documentation uploads</t>
  </si>
  <si>
    <t>6.Submit and manage leave requests across multiple leave types</t>
  </si>
  <si>
    <t>7. View leave summaries (e.g., entitlement, usage, carryover, balances)</t>
  </si>
  <si>
    <t>8.Update selected personal profile fields (e.g., contact details etc)</t>
  </si>
  <si>
    <t>Automation</t>
  </si>
  <si>
    <t>The system should enable Supervisors to have self-service capabilities, such as a portal for managing and viewing rosters, monitoring deployments, and extracting data on attendance, qualifications, absences, and demand details.</t>
  </si>
  <si>
    <t>Manager Portal</t>
  </si>
  <si>
    <t>The system should include an in-built approval system and a storage system for supporting documents, equipped with OCR functionality. This will facilitate changes in attendance, allowances, constraints overrides, and the creation of demand.</t>
  </si>
  <si>
    <t>Workflow Approval system.
OCR is optional</t>
  </si>
  <si>
    <t>Yes, but OCR would need to be added if needed.</t>
  </si>
  <si>
    <t>The system should have an automatic function to create demand and assign officers once approval is given. For example, for internal demand, the approval system should automatically create Sales Orders or Perspective Sales Orders and generate the corresponding demand in NGRS</t>
  </si>
  <si>
    <t>Workflow Approval system.</t>
  </si>
  <si>
    <t>The system should have an automatic function to amend attendance once approval is given, and manage back-payment tracking for changes in attendance.
For CLS: Certis Forms, it should integrate time changes and specify who will give approval, addressing any back-payment issues.
For CAS, it should ensure back-payment tracking without losing visibility.</t>
  </si>
  <si>
    <t>The system should have an automatic function to amend demand details once approval is given. For example, allowances should be updated by the demand manager manually in NGRS, Certis Forms, or a designated platform.</t>
  </si>
  <si>
    <t>The system should include a feature or platform that allows officers to acknowledge their attendance, allowances, and rosters.</t>
  </si>
  <si>
    <t>The system should include a call-to-action function, which automates alerts for officers who have not yet checked in or out via TITUS after the planned start and end times</t>
  </si>
  <si>
    <t>Requires extension and integration.</t>
  </si>
  <si>
    <t>The system should support automatic data synchronization with third-party systems, such as TITUS, ejobcard, eparcs, and optimax</t>
  </si>
  <si>
    <t>Repeated</t>
  </si>
  <si>
    <t>The system should include pre- and post-compliance check functions with alert capabilities. This includes alerts for unfulfilled billable demand, expiring qualifications, expiring demand, payable timing exceeding clocked hours, and officers without a roster. These alerts should be available in the form of reports or dashboards</t>
  </si>
  <si>
    <t>Dynamic Business/Operations Intelligence Dashboard + Data Visualisation + data export and sharing (shortfall kpi, recruitment, total duty, manpower health status, absences, cost, simulation of roster, forecasted manpower required, optimising manpower for mega evants, past and future shortfall, violations)
1) Alert/Notification with call to action feature  for the following
i. License Expiring (PLRD/Work permit/SFA/AED)
ii. Unfulfilled Demand for 1 Duty Post Assignment (i.e. Bank)
iii. Failure to clock in for 1 Duty Post Assignment (i.e. Polyclinic)
iv. Attendance Discrepancies not resolved by 3 days
v. Failure to scan out after x hours
vi. Failure to AEMS In/AEMS Out
vii. Scan out earlier than contractual time for 01 DP/shift
viii.AEMS Out earlier than contractual timing
Ix.Titus Out at base before AEMS Out
x, New Demand created (Billable/Internal)
xi. Demand Expiring  (Billable/Internal)
xii. Any constraints overriden w/o approval
xiii. Breaching the daily max hours/ number of consecutive working days/monthly ot hours
Example - Officer already clocked 72 hrs OT hours (achived +foreacasted),  alert to be send to SE/OM not to get officer to stand in
xiv. Predictive underutilise/overutilise officers:</t>
  </si>
  <si>
    <t>As mentioned in other requirements, visualizations and dashboards should be a dedicated BI tool / Data warehouse. WorkAxle has all the data and is a dedicated Workforce Management Tool. For in-depth reporting and visualizations, other tools are better suited and can pull all the necessary data from the system.</t>
  </si>
  <si>
    <t>The system should feature Digital Twin Rostering to simulate new roster patterns, determine the required manpower, and identify sources for additional manpower during mega events</t>
  </si>
  <si>
    <t>Not an explicit "digital twin" but simulations are possible and then user can select the best option.</t>
  </si>
  <si>
    <t>The system should feature an AI chatbot that allows users to request or query regarding roster or pay discrepancies, similar to the features available in Certis Forms</t>
  </si>
  <si>
    <t>Possible for roster, but pay information would be in SAP.</t>
  </si>
  <si>
    <t>The system should have the capability to automatically schedule reports, such as validation of overtime and lateness e.g. report for lateness</t>
  </si>
  <si>
    <t>These can be pulled directly from our system in app or through the API. These can be made polled.</t>
  </si>
  <si>
    <t>The system should perform daily checks on officers' qualification validity and automatically remove those whose qualifications are no longer valid</t>
  </si>
  <si>
    <t>The system should automatically schedule runs in the roster to update the white list and black list</t>
  </si>
  <si>
    <t>As mentioned, whitelist and blacklist functionality would need to be an extension.</t>
  </si>
  <si>
    <t>Repeated under 2b Planning VI</t>
  </si>
  <si>
    <t>The system should allow for the automatic update of overtime (additional hour) one hour before or after a shift. For example, CLS: certain assignments that will require extension, and CAS: certain rosters that will need this automatic update.</t>
  </si>
  <si>
    <t>The system should update roster constraints and notify officers of their current roster constraints and assignments. For example, it should allow constraints templates to be tabulated to the demand with product type and rank</t>
  </si>
  <si>
    <t>The system should generate a Daily Availability Report, which will be sent via email. This report will notify if any staff members remain in an available status without being assigned to any demand</t>
  </si>
  <si>
    <t>The system should support mass updates for demand coverage, shift patterns, constraints, headcount, allowances, and shift timings.</t>
  </si>
  <si>
    <t>Automation with in built approval process
1. Auto creation of internal demand with approval process
2. Auto convert attendance to qualification with approval process
3. Auto tagging/delimit of allowance with approval process
4. Auto adjustment of allowance with approval process
5. Auto configuration/creation of tolerance with approval process. Tolerance to be configurable by product type/Scheme/Plant/Assignment/employment status (part timer/full timer)
6. Auto adjustment/delimit of tolerance with approval process. Tolerance to be configurable by product type/Scheme/Plant/Assignment/employment status (part timer/full timer)
7. Auto Overide of constraint (soft/hard) with approval process by date/month/day range + storage for supporting documents
8. Auto tagging/delimit/creation of constraints with approval process
9. Auto amendment of constraints with approval process
10. Auto adjustment/amendment of attendance with approval process + supporting documents
11. Auto extension of demand with approval process (internal demand)
12. Auto Singular/Mass tagging/changes of  shift pattern/contractual timing/allowances/constraints by date/month with approval process
13.Auto Singular/ Mass Delimit Functions for shift pattern/allowance/contractual timing/constraints by date/ month with approval process
14. Approval to create/delimit contraints in the constraints table (hard/soft constraints)</t>
  </si>
  <si>
    <t>The vendor should explain how the NGRS system integrates with other systems to process billing. Specifically, how data such as job confirmations (JC), e-jobcards, Certis Forms (absences), physical jobcards and sign-offs, e-PARC, and TITUS Customer Portal views are pushed to the billing team.</t>
  </si>
  <si>
    <t>The NGRS system should be linked to third-party systems that allow customers to acknowledge deployments, such as e-jobcards, ePARCs, and the TITUS admin portal.</t>
  </si>
  <si>
    <t>The NGRS system should allow for backdated amendments of billing data. For example, it should support demand locks after 48 hours (currently handled through manual billing) and accommodate backdated demands that were not created in time.</t>
  </si>
  <si>
    <t>The NGRS system should have a function to automatically bill third parties, such as PLRD, CRP Agencies, and inter-departmental charges. For example:
    IDC: Officers (CAS) Process (quotation in MRS for internal billing), new system process (quotation) - e-PIF.
    PLRD: Fees - data from MRS sent for CO approval and forwarded to PLRD for yearly audit.
    CRP: TITUS data used to pay CRP deployments.</t>
  </si>
  <si>
    <t>Repeated. See Demand Creation item xiii</t>
  </si>
  <si>
    <t>The system must have the functionality to compile a list of operation and billing dashboards or reports e.g. Billing vs unbilled, shift confirmation, ejobcard status, TITUS shift confirmation, unassigned demands, unconfirm demands, submission of IRIM</t>
  </si>
  <si>
    <t>Extension</t>
  </si>
  <si>
    <t>Synchronisation to IRIMS portal to raise IRIMS if working hours exceed regulatory requirement (MOM/D10). Trigger by Xhrs clock out timing from planned end time</t>
  </si>
  <si>
    <t>Integration work</t>
  </si>
  <si>
    <t xml:space="preserve">To allow officers to highlight their voluntary OT days through, to assign officer to most suitable job / adhoc job once made available instead of when officer wanted to book </t>
  </si>
  <si>
    <t>This sounds like preferences which will be coming in the roadmap early 2026</t>
  </si>
  <si>
    <t>End user to select and push demand to ejobcard for billing</t>
  </si>
  <si>
    <t>Notification Feature</t>
  </si>
  <si>
    <t>The system should include a mobile app that sends notifications to officers for check-in and check-out.</t>
  </si>
  <si>
    <t>Advise against notification fatigue, but there are better recommended ways to achieve the intended business outcome. Will propose during workshops depending on the item.</t>
  </si>
  <si>
    <t>The system should include a mobile app that sends notifications about daily schedule roster changes</t>
  </si>
  <si>
    <t>The system should prompt the user before removing a roster if attendance has already been captured (planned start and end times).</t>
  </si>
  <si>
    <t>The system should prompt a check for check-in and check-out records before removing a roster, for example, in cases of leave application errors.</t>
  </si>
  <si>
    <t>The system should trigger email notifications to inform the default group of people if job confirmation (JC) is not completed within the stipulated timeline.</t>
  </si>
  <si>
    <t>Improved visibility of who handles the demands, so we can identify the responsible party directly without needing GTO to investigate.(Audit trial)</t>
  </si>
  <si>
    <t>Repeated. Part of Audit Report</t>
  </si>
  <si>
    <t>Days Of Ops</t>
  </si>
  <si>
    <t>repeated</t>
  </si>
  <si>
    <t>System to flag officer error for roster after Xhrs from planned start time</t>
  </si>
  <si>
    <t>The system should include a mobile app to trigger officers "X" timing before shift start time to allow for acknowledgement so that relevant SE/OM can have better response time to cater for shortfall. Trigger timing must be scalable</t>
  </si>
  <si>
    <t>The System should be able to accomodate a 'feedback' mechanism to allow upload of required documents by Ops/User and trigger the appropriate responsible party to follow up, but allowing a 'one-time' update and not to flag violation</t>
  </si>
  <si>
    <t>Alow auto/dynamic extension of roster due to holdback / unable to stand down on the spot</t>
  </si>
  <si>
    <t>Repeated. Extension of hrs</t>
  </si>
  <si>
    <t>Officer portal to acknowledge for upcoming deployment before X hrs from planned start time .Reference to Dynamic rostering</t>
  </si>
  <si>
    <t>2d.</t>
  </si>
  <si>
    <r>
      <t xml:space="preserve">Reconciliation.  </t>
    </r>
    <r>
      <rPr>
        <sz val="12"/>
        <color theme="1"/>
        <rFont val="Arial"/>
        <family val="2"/>
      </rPr>
      <t>In terms of functionalities in verifying employee time attendance, the Software shall:</t>
    </r>
  </si>
  <si>
    <r>
      <t>Basic Timesheet Reconciliation Functions</t>
    </r>
    <r>
      <rPr>
        <sz val="12"/>
        <color theme="1"/>
        <rFont val="Arial"/>
        <family val="2"/>
      </rPr>
      <t>   </t>
    </r>
  </si>
  <si>
    <t>1. Allows automatic approval of timesheets with no exceptions.</t>
  </si>
  <si>
    <t>2. Allows comments on timesheets.</t>
  </si>
  <si>
    <t>3. Saves original and amended timesheets for a complete audit trail.</t>
  </si>
  <si>
    <t>Audit Log is available</t>
  </si>
  <si>
    <t>4. Includes live cost tracking on timesheets.</t>
  </si>
  <si>
    <t>5. The solution must capture and display key attendance verification details within timesheets, including check-in and check-out times, facial verification records (photo identification), and geolocation data</t>
  </si>
  <si>
    <t>6. Tracks automatic and manual breaks.</t>
  </si>
  <si>
    <t>7. Ability to restrict who can perform amendments and what pay codes can be amended.</t>
  </si>
  <si>
    <t>Role based/ Access based</t>
  </si>
  <si>
    <t>8. All timesheet changes are tracked for auditing/reporting purposes.</t>
  </si>
  <si>
    <t>Repeated. Same as point 3</t>
  </si>
  <si>
    <t>9. Ability to automatically route amended timesheets for approvals as required.</t>
  </si>
  <si>
    <t>10. Issues automatic email alerts and configurable escalation reminders for unsubmitted or unapproved timesheets.</t>
  </si>
  <si>
    <t>In-app display/dashboard of unsubmitted or unapproved timecards.</t>
  </si>
  <si>
    <t>11. Customisable overtime approval workflows.</t>
  </si>
  <si>
    <t>12. Allows authorized users to delegate responsibilities, either temporarily or permanently, to specified user roles (such as a manager or assistant manager).</t>
  </si>
  <si>
    <t>13. Ability to verify that timesheet data is complete and correct before being sent to payroll for processing.</t>
  </si>
  <si>
    <t>14. Ability to securely lock timesheets from additional changes before sending to payroll for processing.</t>
  </si>
  <si>
    <t>15. Only allows authorized personnel to unlock locked timesheets.</t>
  </si>
  <si>
    <t>Business Requirements added (SG BUs)</t>
  </si>
  <si>
    <t>The system should include a built-in approval system with OCR capabilities and support for document attachments to automatically amend working hours based on the request.</t>
  </si>
  <si>
    <t>Amendements can be made but would need extension for document submission and storage with potential approval flow with document attached.</t>
  </si>
  <si>
    <t>The system should be able to automatically push attendance data to a third-party system, even if time evaluation is performed in another system. This should include both automatic synchronization and manual triggers.</t>
  </si>
  <si>
    <t>The system should provide a platform for officers and supervisors to view and acknowledge their attendance, allowances, and daily status.</t>
  </si>
  <si>
    <t>The system should include a built-in feature or integration with Certis system that allows officers to flag attendance discrepancies and route them to supervisors for amendment e.g. Certis App/ Outsystem</t>
  </si>
  <si>
    <t>The system should include a process for backpayment of allowances and attendance, incorporating an approval workflow and back payment mechanism</t>
  </si>
  <si>
    <t>Retros can be done and passed over to payroll.</t>
  </si>
  <si>
    <t>Payroll via SF</t>
  </si>
  <si>
    <t>The system should include a process for urgent changes, updates, and reconciliation to meet payroll cut-off dates. It should allow for urgent changes and updates within a specified period</t>
  </si>
  <si>
    <t>The system should have a process for handling urgent ad-hoc orders when an officer is unable to use the normal time attendance. For example, it should manage scenarios like Certis e-Jobcard, internal demand, or waiting for IRIM creation (backdated work order creation). e.g. A normal scenariro that the staff is deployed in a site that have TITUS IN  and will also be deploy for adhoc job that will require e-jobcard sign off from client</t>
  </si>
  <si>
    <t>The system should be capable of recording the initial clock-in time at the start of a shift (Roster A). Even if there is a shift change (from Roster A to Roster B), it should capture the end shift time from Roster B. Additionally, the system must be able to track each demand allowance.</t>
  </si>
  <si>
    <t>1) For job reconciliation for payroll, system should be able to draw data from Titus, AEMS, Gallagher, Eparcs, AtOnce, Argus Log In to pay officers
2) System should be able to reconcile attendance based on first in/last out for officers' who are deployed for multiple assignment within the single shift.
3) System should be able to include the tolerance hours (travelling time) that have been set during the tolerance configuration when tabulating the total payable hours
Example:
a. Contractual Hours: 0800-2000
Tolerance Set: 30 mins planned start time/30 mins planned end time
Clock In/Out: 0745-2045
Payable: 0745 - 2030
b. Contractual Hours: 0800-2000
Tolerance Set: 30 mins planned start time/30 mins planned end time
Clock In/Out: 0715-2015
Payable: 0730- 2015
c.Contractual Hours: 0800-2000
Tolerance Set: -1 mins planned start time/1 mins planned end time
Clock In/Out: 0815-2015
Payable: 0815- 2000hrs
d.Contractual Hours: 0800-2000
Tolerance Set: -1 mins planned start time/1 mins planned end time
Clock In/Out: 0715-1945
Payable: 0800- 1945hrs
e. Contractual Hours: 0800-2000
Tolerance Set: 0 mins planned start time/ 0mins planned end time
Clock In/Out: 0715-1945
Payable: 0800- 2000hrs
3) System to guard the daily max hours and maximum hours for both system/manual reconciliation
4) Remarks field to be made available for user to enter reason why manual reconciliation were performed
5) Status of allowances/attendance reconciliation.
6) System able to update new clocking data from Titus
7) System able to auto confirm the attendance if meet the pre-set parameter.</t>
  </si>
  <si>
    <t xml:space="preserve"> 1)Tolerance to be configurable by product type/Scheme/Plant/Assignment/employment status (part timer/full timer)/customer/demand item
Example:
 2 different product type (Full Timer/Part Timer) are assign to the same demand ID but only full timer are entitled for the tolerance hours, system should be able to differentiate the product type and payout the tolerance hours only to Full Timers.
3) System able to maintain tolerance for Report time, muster time, billable start/end time, clocking time, payable start /end time. </t>
  </si>
  <si>
    <t>For Job reconciliation for billing, the system should be able to draw data for billing from Titus, AEMS, Gallagher, Eparcs, AtOnce, Argus, e-Jobcard, Certis Forms.</t>
  </si>
  <si>
    <t>Integration work.</t>
  </si>
  <si>
    <t>The system should support smart check feature to check their successfully total clock-in/out of the day</t>
  </si>
  <si>
    <t>Can immediately report on the delta from planned vs actuals.</t>
  </si>
  <si>
    <t>Time Evaluation</t>
  </si>
  <si>
    <t>The system should be able to accommodate different time evaluation logics. For example, Security Officers (SO), Aviation Security Officers (AVSO), Cash &amp; Valuable Security Officers (CVSO), and Expressway Monitoring and Advisory System (EMAS) crew (classified as workmen) may each have distinct time evaluation requirements.</t>
  </si>
  <si>
    <t>Time Eval done in SF/S4</t>
  </si>
  <si>
    <t>To be able to optimise rest day OT and limit to 72 hours without incomplete monthly roster for officer(Officer roster to follow by assignment coverage instead of fix shift pattern)</t>
  </si>
  <si>
    <t>Payroll</t>
  </si>
  <si>
    <t>The system should be able to update changes in the pay structure, such as the Progressive Wage Model (PWM), Scheme A (for Singaporean or foreigner ranks), Scheme B, part-timers' schemes, and non-time evaluation staff.</t>
  </si>
  <si>
    <r>
      <t xml:space="preserve">Reporting.  </t>
    </r>
    <r>
      <rPr>
        <sz val="12"/>
        <color theme="1"/>
        <rFont val="Arial"/>
        <family val="2"/>
      </rPr>
      <t>In terms of reporting and visualising rostering data, the Software shall:</t>
    </r>
  </si>
  <si>
    <t>1. Include a core reporting suite, which allows users to build customised reports.</t>
  </si>
  <si>
    <t>Although WorkAxle has built-in reporting functionality, for complete cross-object and cross-system reporting, it is recommended to use a data warehouse and/or a BI Tool to report on the data in our system. All data can be pulled from our API/GraphQL.</t>
  </si>
  <si>
    <t>2. Have the capability to schedule the sending of reports to licensed users as well as to any specific email address.</t>
  </si>
  <si>
    <t>3. The Software Provider shall include a list of pre-built reports (with the data fields within each report) that can be generated from the Software.</t>
  </si>
  <si>
    <r>
      <t>Data Visualisations and Analytics</t>
    </r>
    <r>
      <rPr>
        <sz val="12"/>
        <color theme="1"/>
        <rFont val="Arial"/>
        <family val="2"/>
      </rPr>
      <t> –  The data model is prebuilt and integrated with the solution to minimize configuration effort.  The software shall support integration with third party analytics tools (e.g. Tableau, MS Power BI) through APIs  and it shall include tools to enable the following data visualisations:</t>
    </r>
  </si>
  <si>
    <t>1. Clock in-out data – including employees clocking in-out at multiple sites, date period selection</t>
  </si>
  <si>
    <t>2. Utilisation rate – number of hours of an employee’s working period spent as billable hours (in billable demands)</t>
  </si>
  <si>
    <t>3. Unfilled Rosters – number of shifts that are unfilled in a roster</t>
  </si>
  <si>
    <r>
      <t>4</t>
    </r>
    <r>
      <rPr>
        <sz val="12"/>
        <color rgb="FFFF0000"/>
        <rFont val="Arial"/>
        <family val="2"/>
      </rPr>
      <t xml:space="preserve">. </t>
    </r>
    <r>
      <rPr>
        <sz val="12"/>
        <color theme="1"/>
        <rFont val="Arial"/>
        <family val="2"/>
      </rPr>
      <t>rostering assignment performance (i.e.: manpower shortfall, unplanned absence)</t>
    </r>
  </si>
  <si>
    <t>5.Unfulfilled demands </t>
  </si>
  <si>
    <t>6. Time attendance performance (i.e.: no clock in/out)</t>
  </si>
  <si>
    <t>7. Forecast of OT breaches</t>
  </si>
  <si>
    <t xml:space="preserve">8. Forecast of exceeding workforce cost budget </t>
  </si>
  <si>
    <t>9.total achieved work hours for the month</t>
  </si>
  <si>
    <t xml:space="preserve">10. frontliner with near expiring qualification, certificate, skillsets etc. The system shall produce necessary reports for operational, analytical and audit usage. </t>
  </si>
  <si>
    <t>11. Manpower forecast to show manpower strength health status against rostering demand and to show if there are any spare manpower for new assignment. This is to allow Business Unit to decide if they can take in more business with the available manpower during the period.</t>
  </si>
  <si>
    <t>The system should be able to manage consent for changing off days to workdays, such as overrides in NGRS (subjective) and rostering change management.</t>
  </si>
  <si>
    <t>All reports to be evaluated and there are three levels of reporting. For complex multi-object reports, leveraging the API and pulling into a BI tool or datawarehouse for complex reports is industry standard. For in-app reports, we can build but after going through a design workshop and understanding which reports live in-app and which are exported for more complexity.</t>
  </si>
  <si>
    <t>Lateness report</t>
  </si>
  <si>
    <t>Data to be pull from NGRS</t>
  </si>
  <si>
    <t>Absence report</t>
  </si>
  <si>
    <t>Attendance report (Absences, OT, training hours &amp; work hours)</t>
  </si>
  <si>
    <t>Daily hour report</t>
  </si>
  <si>
    <t>Off Day Consent Report (Regulation)</t>
  </si>
  <si>
    <t>Actual Hour vs Billing hour (Banks requirement)</t>
  </si>
  <si>
    <t>Allowance Report</t>
  </si>
  <si>
    <t>Demand and constraint report</t>
  </si>
  <si>
    <t>PLRD fee report</t>
  </si>
  <si>
    <t>Customisable report to be able to schedule to email</t>
  </si>
  <si>
    <t>Audit trial report (All transaction made within system)</t>
  </si>
  <si>
    <t>Light duty/non-deployable report</t>
  </si>
  <si>
    <t>Arm status report</t>
  </si>
  <si>
    <t>PLRD report( Valid date)</t>
  </si>
  <si>
    <t>Contractual max and min hours report - Able to show officers not meeting the contractual requirement and to be able download or schedule report to specific email group.</t>
  </si>
  <si>
    <t>HR report to churn out the weekly hours (flexi)</t>
  </si>
  <si>
    <t>e-Jobcard report - Manual reconcile with the PDF (tagging to the demand &amp; contract) e.g. plan time vs actual time discrepancy (highlight)</t>
  </si>
  <si>
    <t xml:space="preserve">Option to track officers' utilisation level via report or main UI </t>
  </si>
  <si>
    <t>To generate final attendance report from platform based on clients format to submit as supporting document for billing(Customise table)</t>
  </si>
  <si>
    <t>Manpower Status Report (Internal)</t>
  </si>
  <si>
    <t>Manpower Status Report (External)</t>
  </si>
  <si>
    <t>Rule Violation Report</t>
  </si>
  <si>
    <t>&gt;72 hrs OT Report</t>
  </si>
  <si>
    <t>&lt;61 hrs OT Report</t>
  </si>
  <si>
    <t>Titus Non Compliance Report</t>
  </si>
  <si>
    <t>Job Confirmation Report</t>
  </si>
  <si>
    <t>PLRD Billing Report</t>
  </si>
  <si>
    <t>Audit Report</t>
  </si>
  <si>
    <t>SMRT Shortfall Report</t>
  </si>
  <si>
    <t>OFF Day Consent</t>
  </si>
  <si>
    <t>Weekly Shortfall Report</t>
  </si>
  <si>
    <t>Surplus Report</t>
  </si>
  <si>
    <t>Attendance Report</t>
  </si>
  <si>
    <t>Absence Report</t>
  </si>
  <si>
    <t>Previous Day Indicator Report</t>
  </si>
  <si>
    <t>OFF Day report</t>
  </si>
  <si>
    <t>Sub Error Report</t>
  </si>
  <si>
    <t>CLS Nominal Roll</t>
  </si>
  <si>
    <t>Lateness Report</t>
  </si>
  <si>
    <t>Manpower EI Table</t>
  </si>
  <si>
    <t>Resignation/Attrition Report</t>
  </si>
  <si>
    <t>Unfulfilled job report</t>
  </si>
  <si>
    <t>List of job/demand detail report</t>
  </si>
  <si>
    <t>Constraint Report</t>
  </si>
  <si>
    <t xml:space="preserve">Roster </t>
  </si>
  <si>
    <t>Tolerance Report</t>
  </si>
  <si>
    <t>Resourse Partner Utilisation Report</t>
  </si>
  <si>
    <t>Audit Trail</t>
  </si>
  <si>
    <t>Billing Report</t>
  </si>
  <si>
    <t>Manpower Utilisation Report</t>
  </si>
  <si>
    <t>Officer detail (qualification/personal particulars)</t>
  </si>
  <si>
    <t>Data to be pull from LTMS</t>
  </si>
  <si>
    <t>Manual Attendance Adjustment Report</t>
  </si>
  <si>
    <t>Attendance Error Report</t>
  </si>
  <si>
    <t>Officer with no status Report</t>
  </si>
  <si>
    <t>Time Attendance Discrepancies report (Clock In Vs Payable)</t>
  </si>
  <si>
    <t>List of Data to perform Audit (i.e. manual adjsutment to attendance)</t>
  </si>
  <si>
    <t>SMRT Manpower Status Report</t>
  </si>
  <si>
    <t>3a.</t>
  </si>
  <si>
    <r>
      <t>Security.</t>
    </r>
    <r>
      <rPr>
        <sz val="12"/>
        <color theme="1"/>
        <rFont val="Arial"/>
        <family val="2"/>
      </rPr>
      <t xml:space="preserve">  In terms of software and infrastructure security, the Software service provider shall:</t>
    </r>
  </si>
  <si>
    <r>
      <t>Data Encryption</t>
    </r>
    <r>
      <rPr>
        <sz val="12"/>
        <color rgb="FF0D0D0D"/>
        <rFont val="Arial"/>
        <family val="2"/>
      </rPr>
      <t>.  All data transmitted over public networks and stored in databases must be encrypted using industry-standard protocols.</t>
    </r>
  </si>
  <si>
    <t>No Change</t>
  </si>
  <si>
    <r>
      <t>Access Control</t>
    </r>
    <r>
      <rPr>
        <sz val="12"/>
        <color rgb="FF0D0D0D"/>
        <rFont val="Arial"/>
        <family val="2"/>
      </rPr>
      <t>.  Role-based access control (RBAC) to ensure users can only access data and functionalities relevant to their role.</t>
    </r>
  </si>
  <si>
    <r>
      <t>Audit Trails</t>
    </r>
    <r>
      <rPr>
        <sz val="12"/>
        <color rgb="FF0D0D0D"/>
        <rFont val="Arial"/>
        <family val="2"/>
      </rPr>
      <t>.  Comprehensive logging of user actions and system changes for audit purposes, with logs stored securely for a minimum of 1 year.</t>
    </r>
  </si>
  <si>
    <r>
      <t>Notifications</t>
    </r>
    <r>
      <rPr>
        <sz val="12"/>
        <color rgb="FF0D0D0D"/>
        <rFont val="Arial"/>
        <family val="2"/>
      </rPr>
      <t>.</t>
    </r>
    <r>
      <rPr>
        <sz val="12"/>
        <color theme="1"/>
        <rFont val="Arial"/>
        <family val="2"/>
      </rPr>
      <t xml:space="preserve"> Ability to generate real time alert notifications for critical security situations.</t>
    </r>
  </si>
  <si>
    <r>
      <t>Track record</t>
    </r>
    <r>
      <rPr>
        <sz val="12"/>
        <color rgb="FF0D0D0D"/>
        <rFont val="Arial"/>
        <family val="2"/>
      </rPr>
      <t>.  State if you have had a security or data breach in the last 5 years.</t>
    </r>
  </si>
  <si>
    <t>Provide additional information in the Vendor Risk Assessment Questionnaire, to be sent separately.</t>
  </si>
  <si>
    <t>3b.</t>
  </si>
  <si>
    <r>
      <t>User Interface and User Experience.</t>
    </r>
    <r>
      <rPr>
        <sz val="12"/>
        <color theme="1"/>
        <rFont val="Arial"/>
        <family val="2"/>
      </rPr>
      <t xml:space="preserve">  The Software service provider shall:</t>
    </r>
  </si>
  <si>
    <r>
      <t>User Interface.</t>
    </r>
    <r>
      <rPr>
        <b/>
        <sz val="12"/>
        <color theme="1"/>
        <rFont val="Arial"/>
        <family val="2"/>
      </rPr>
      <t xml:space="preserve">  O</t>
    </r>
    <r>
      <rPr>
        <b/>
        <sz val="12"/>
        <color rgb="FF0D0D0D"/>
        <rFont val="Arial"/>
        <family val="2"/>
      </rPr>
      <t>ffer an intuitive and user-friendly interface, accessible to users with varying levels of technical proficiency.</t>
    </r>
  </si>
  <si>
    <t>Adopt industry best practices for UI/UX (with particular emphasis on ISO 9241-210 2019).</t>
  </si>
  <si>
    <t>Be accessible from a range of common computing devices (e.g. Mac, PC, Apple and Android mobile devices).</t>
  </si>
  <si>
    <t>Supports Modern Web Browsers (Chrome, Safari, Edge, Samsung Internet, Firefox)</t>
  </si>
  <si>
    <r>
      <t>Localisation</t>
    </r>
    <r>
      <rPr>
        <b/>
        <sz val="12"/>
        <color theme="1"/>
        <rFont val="Arial"/>
        <family val="2"/>
      </rPr>
      <t>.</t>
    </r>
  </si>
  <si>
    <t>Language - Support English and Mandarin and Traditional Mandarin language interfaces, documentation and support (e.g. language spoken with agents in call centre).</t>
  </si>
  <si>
    <t>Date/Time - Support daylight saving time.</t>
  </si>
  <si>
    <t>Currencies – Support multiple currencies and handle currency conversions (e.g. to calculate cost)</t>
  </si>
  <si>
    <t>3c.</t>
  </si>
  <si>
    <r>
      <t>Performance and Scalability.</t>
    </r>
    <r>
      <rPr>
        <sz val="12"/>
        <color theme="1"/>
        <rFont val="Arial"/>
        <family val="2"/>
      </rPr>
      <t xml:space="preserve">  The Software service provider shall:</t>
    </r>
  </si>
  <si>
    <r>
      <t>Response Time</t>
    </r>
    <r>
      <rPr>
        <sz val="12"/>
        <color theme="1"/>
        <rFont val="Arial"/>
        <family val="2"/>
      </rPr>
      <t>.  For web-based applications, align to industry best practices.  The provider may reference Google Core Web Vitals metrics</t>
    </r>
  </si>
  <si>
    <t>1. Loading Performance – Largest Contentful Paint (LCP) time of 2.5 seconds or less.</t>
  </si>
  <si>
    <t>2. Interactivity – First Input Delay (FID) of 100 milliseconds or less.</t>
  </si>
  <si>
    <t>3. Stability – Cumulative Layout Shift (CLS) score of 0.1 or less.</t>
  </si>
  <si>
    <r>
      <t>Throughput</t>
    </r>
    <r>
      <rPr>
        <sz val="12"/>
        <color theme="1"/>
        <rFont val="Arial"/>
        <family val="2"/>
      </rPr>
      <t>.  The system must support simultaneous access for up to 20,000 users without performance degradation.</t>
    </r>
  </si>
  <si>
    <r>
      <t>Scalability</t>
    </r>
    <r>
      <rPr>
        <sz val="12"/>
        <color theme="1"/>
        <rFont val="Arial"/>
        <family val="2"/>
      </rPr>
      <t>: The system should be scalable to accommodate future growth in user numbers, tenants and associated data volume without any disruption to user services or degradation in performance.</t>
    </r>
  </si>
  <si>
    <t>3d.</t>
  </si>
  <si>
    <r>
      <t>Support and Maintenance.</t>
    </r>
    <r>
      <rPr>
        <sz val="12"/>
        <color theme="1"/>
        <rFont val="Arial"/>
        <family val="2"/>
      </rPr>
      <t xml:space="preserve">  The Software service provider shall:</t>
    </r>
  </si>
  <si>
    <r>
      <t>Technical Support</t>
    </r>
    <r>
      <rPr>
        <sz val="12"/>
        <color rgb="FF000000"/>
        <rFont val="Arial"/>
        <family val="2"/>
      </rPr>
      <t>.  Provide in-house technical support that is NOT out-sourced to a third party and is available 24/7, ensuring priority response to critical issues (maximum 15mins response time) and their resolution within 6 hours. The technical support team must be contactable via a toll-free phone number .  All other issues must be reolved within 12 hours upon submission of request.
Online Chat support to respond to non-critical queries is optional.</t>
    </r>
  </si>
  <si>
    <t>Detailed response sent by email.</t>
  </si>
  <si>
    <t>No change</t>
  </si>
  <si>
    <r>
      <t>Documentation</t>
    </r>
    <r>
      <rPr>
        <sz val="12"/>
        <color theme="1"/>
        <rFont val="Arial"/>
        <family val="2"/>
      </rPr>
      <t>.  Comprehensive and up-to-date documentation, including user manuals, installation guides, and troubleshooting tips, available 24/7.</t>
    </r>
  </si>
  <si>
    <r>
      <t>Software Updates</t>
    </r>
    <r>
      <rPr>
        <sz val="12"/>
        <color theme="1"/>
        <rFont val="Arial"/>
        <family val="2"/>
      </rPr>
      <t>.  Regular updates and patches to address security vulnerabilities, bugs, and enhance functionality.</t>
    </r>
  </si>
  <si>
    <r>
      <t>Align to maintenance standards</t>
    </r>
    <r>
      <rPr>
        <sz val="12"/>
        <color theme="1"/>
        <rFont val="Arial"/>
        <family val="2"/>
      </rPr>
      <t>.  Be governed by a comprehensive software lifecycle strategy, strongly aligning to ISO/IEC/IEEE 12207:2017.</t>
    </r>
  </si>
  <si>
    <t>The System must provide a well-defined exit strategy to ensure a seamless transition in case of contract termination, migration to another system, or vendor replacement. The exit process should be transparent, structured, and minimize operational disruptions.</t>
  </si>
  <si>
    <t>User Manual/ Training &amp; Processes</t>
  </si>
  <si>
    <t>The vendor should provide user manual &amp; Training for the system and its subsystems' functions within the NGRS system.</t>
  </si>
  <si>
    <t>The vendor should provide an end-to-end process for each function within the NGRS system.</t>
  </si>
  <si>
    <t>3e.</t>
  </si>
  <si>
    <r>
      <t>Reliability and Availability.</t>
    </r>
    <r>
      <rPr>
        <sz val="12"/>
        <color theme="1"/>
        <rFont val="Arial"/>
        <family val="2"/>
      </rPr>
      <t xml:space="preserve">  The Software service provider shall:</t>
    </r>
  </si>
  <si>
    <r>
      <t>System availability.</t>
    </r>
    <r>
      <rPr>
        <sz val="12"/>
        <color rgb="FF000000"/>
        <rFont val="Arial"/>
        <family val="2"/>
      </rPr>
      <t xml:space="preserve">  Ensure that the Software is available 24hrs, 7 days a week and all year-round, and has an availability of 99.7%, including planned maintenance periods, which shall be designed to have minimum impact to users (takes place in off-peak hours) and be informed to Certis in advance.</t>
    </r>
  </si>
  <si>
    <r>
      <t>Data Backup</t>
    </r>
    <r>
      <rPr>
        <sz val="12"/>
        <color theme="1"/>
        <rFont val="Arial"/>
        <family val="2"/>
      </rPr>
      <t xml:space="preserve">.  Maintains at least two levels of backup and failover production.  </t>
    </r>
    <r>
      <rPr>
        <sz val="12"/>
        <color rgb="FF0D0D0D"/>
        <rFont val="Arial"/>
        <family val="2"/>
      </rPr>
      <t>Automated daily backups of all data, with the ability to perform additional backups on demand, plus a Recovery Point Objective (RPO) of 15mins.</t>
    </r>
  </si>
  <si>
    <r>
      <t>System Recovery</t>
    </r>
    <r>
      <rPr>
        <sz val="12"/>
        <color rgb="FF000000"/>
        <rFont val="Arial"/>
        <family val="2"/>
      </rPr>
      <t xml:space="preserve">.  The system should ensure the recovery time (RTO) is within 4 hours after services offline or upon notification by Certis, whichever is earlier. </t>
    </r>
  </si>
  <si>
    <r>
      <t>Offline Mode</t>
    </r>
    <r>
      <rPr>
        <sz val="12"/>
        <color theme="1"/>
        <rFont val="Arial"/>
        <family val="2"/>
      </rPr>
      <t>.  Demonstrate capability for critical functions of the system to continue to function while user device is offline.</t>
    </r>
  </si>
  <si>
    <t>Detailed response sent by email. Part of short-term roadmap.</t>
  </si>
  <si>
    <t>The tenderer shall provide a report to Certis within 48 hours upon notification of service disruption, to detail the possible root issues and preventative solution of the incident</t>
  </si>
  <si>
    <t>BCP</t>
  </si>
  <si>
    <t>The vendor should provide information on the planned downtime schedule for the system</t>
  </si>
  <si>
    <t>The vendor should provide a Business Continuity Plan (BCP) for unplanned downtime, as several critical systems rely on NGRS system data for our daily operations</t>
  </si>
  <si>
    <t>The vendor should advise on how users can extract the roster from NGRS when the system is down, so it can be referenced for withdrawing arm demand, such as drawing of arms</t>
  </si>
  <si>
    <t>3f.</t>
  </si>
  <si>
    <r>
      <t>Integration.</t>
    </r>
    <r>
      <rPr>
        <sz val="12"/>
        <color theme="1"/>
        <rFont val="Arial"/>
        <family val="2"/>
      </rPr>
      <t xml:space="preserve">  The Software service provider shall:</t>
    </r>
  </si>
  <si>
    <t>i.a</t>
  </si>
  <si>
    <r>
      <t>APIs</t>
    </r>
    <r>
      <rPr>
        <sz val="12"/>
        <color rgb="FF000000"/>
        <rFont val="Arial"/>
        <family val="2"/>
      </rPr>
      <t>.  The system must provide robust application programming interfaces (APIs) for integration with existing Certis systems (e.g. Time Attendance)</t>
    </r>
  </si>
  <si>
    <t>i.b</t>
  </si>
  <si>
    <t>Please supply a full list of your API catalogue available for integration, with business and technical definitions, and what operational process they support</t>
  </si>
  <si>
    <r>
      <t>SSO</t>
    </r>
    <r>
      <rPr>
        <sz val="12"/>
        <color theme="1"/>
        <rFont val="Arial"/>
        <family val="2"/>
      </rPr>
      <t>. Support various types of SSO authorisation protocols does your Software support (e.g. OAuth 2.0/JWT/SAML 2.0).  List the types supported.</t>
    </r>
  </si>
  <si>
    <r>
      <t>Data Import/Export</t>
    </r>
    <r>
      <rPr>
        <sz val="12"/>
        <color theme="1"/>
        <rFont val="Arial"/>
        <family val="2"/>
      </rPr>
      <t>.  Data Import/Export: Facilities to easily import and export data in standard formats (CSV, XML, etc.) for interoperability with other systems.</t>
    </r>
  </si>
  <si>
    <t xml:space="preserve"> The solution must natively support or provide comprehensive and well documented APIs to enable seamless integration with Certis' core business systems, including SAP S/4HANA, SAP SuccessFactors Employee Central, SAP Employee Central Payroll, and Tableau.</t>
  </si>
  <si>
    <r>
      <t>Interoperability</t>
    </r>
    <r>
      <rPr>
        <sz val="12"/>
        <color theme="1"/>
        <rFont val="Arial"/>
        <family val="2"/>
      </rPr>
      <t>.  The system must use standard data exchange formats (e.g., JSON, XML) to ensure interoperability with a variety of software systems and technologies.</t>
    </r>
  </si>
  <si>
    <t>The vendor must present a software architecture diagram that clearly illustrates integration points with the following systems::</t>
  </si>
  <si>
    <t>SAP S/4HANA – for the exchange of master data, including clients, sites, sales orders, purchase orders, and resource demand, emp data,
SAP SuccessFactors Employee Central – for syncing employee and contractor data such as personal details, licenses, accreditations, and training records.
SAP Employee Central Payroll – for transmitting validated timesheet data to support payroll processing.
Frontline Time and Attendance Application – for the ingestion of attendance data, including check-in/out times, geolocation, and facial verification.</t>
  </si>
  <si>
    <r>
      <t>(b) 3</t>
    </r>
    <r>
      <rPr>
        <vertAlign val="superscript"/>
        <sz val="12"/>
        <color theme="1"/>
        <rFont val="Arial"/>
        <family val="2"/>
      </rPr>
      <t>rd</t>
    </r>
    <r>
      <rPr>
        <sz val="12"/>
        <color theme="1"/>
        <rFont val="Arial"/>
        <family val="2"/>
      </rPr>
      <t xml:space="preserve"> party system to create and fill rosters (with data from NGRS)</t>
    </r>
    <r>
      <rPr>
        <sz val="8"/>
        <color theme="1"/>
        <rFont val="Arial"/>
        <family val="2"/>
      </rPr>
      <t> </t>
    </r>
  </si>
  <si>
    <r>
      <t>(c) 3</t>
    </r>
    <r>
      <rPr>
        <vertAlign val="superscript"/>
        <sz val="12"/>
        <color theme="1"/>
        <rFont val="Arial"/>
        <family val="2"/>
      </rPr>
      <t>rd</t>
    </r>
    <r>
      <rPr>
        <sz val="12"/>
        <color theme="1"/>
        <rFont val="Arial"/>
        <family val="2"/>
      </rPr>
      <t xml:space="preserve"> party system for Employee Time Attendance</t>
    </r>
  </si>
  <si>
    <r>
      <t>(d) 3</t>
    </r>
    <r>
      <rPr>
        <vertAlign val="superscript"/>
        <sz val="12"/>
        <color theme="1"/>
        <rFont val="Arial"/>
        <family val="2"/>
      </rPr>
      <t>rd</t>
    </r>
    <r>
      <rPr>
        <sz val="12"/>
        <color theme="1"/>
        <rFont val="Arial"/>
        <family val="2"/>
      </rPr>
      <t xml:space="preserve"> party system for Employee shift management (view roster, shift acceptance, shift swap, shift bidding, unavailability)</t>
    </r>
    <r>
      <rPr>
        <sz val="8"/>
        <color theme="1"/>
        <rFont val="Arial"/>
        <family val="2"/>
      </rPr>
      <t>  </t>
    </r>
  </si>
  <si>
    <t>To avoid scheduling conflicts, operations and training schedules must be automatically deconflicted. The LMS and TMS will send course enrolment, cancellation, and amendment details—including training hours—to the Rostering system the same as to be updated in Rostering as training for officer. 
Likewise, the rostering system must be able to send course cancellation requests from the Rostering system  to LMS/TMS when Operations decides to withdraw employees from scheduled courses due to manpower shortages. 
 When a learner is enrolled in one of these designated courses, the LMS/TMS will send both the training hours and the learner’s completion status to the Rostering system, the same as to store in Rostering system and use for optimual rostering.
Training hours are essential for the Rostering system to calculate total monthly working hours and ensure compliance with statutory working time regulations.
Completion status is critical for determining whether an employee is eligible to be assigned to specific duties or operational demands, based on required training constraints</t>
  </si>
  <si>
    <t>The system should be capable of integrating with our existing systems (API-enabled), such as Pre-boarding and TITUS, to sync with AEMS and NGRS. All systems should be linked to NGRS.
Existing Certis Systems:
SuccessFactor
TITUS
AEMS
Allegro
Argus
Optimax
Certis Forms
e-Jobcard
Cadence
eCSDS
RCMS
At-Once
ePARC</t>
  </si>
  <si>
    <t>External System Integration: The system need to  integrate with external systems to push and pull data, and assign tasks to the correct demand if automatic team formation is not feasible.</t>
  </si>
  <si>
    <t>Synchronisation</t>
  </si>
  <si>
    <t>Real Time Synchronizing Function
Real Time Sync Button to push data from/to NGRS (any creation/changes/adjustment made in either of the platforms, sync button to facilitate the immediate update between the systems)
i. Cadence
ii. Ejobcard
iii. Attendance to SAP
iv. Titus
v. Qualification from SAP
vi. Posting from SAP
vii. AEMS
viii.AtOnce
Ix. RCMS (Resource Contractor Management System)
X. Eparcs
Xi. Allegro
Xii. TATS (Transport Attendance Tracking System)
Sensemaking</t>
  </si>
  <si>
    <t>ARGUS/or deployment Dashboard
Others (Ensuring scalability for future systems)</t>
  </si>
  <si>
    <t>Tracking of LD for outcome based contracts</t>
  </si>
  <si>
    <t>3g.</t>
  </si>
  <si>
    <r>
      <t>Configurability and adaptability.</t>
    </r>
    <r>
      <rPr>
        <sz val="12"/>
        <color theme="1"/>
        <rFont val="Arial"/>
        <family val="2"/>
      </rPr>
      <t xml:space="preserve">  The Software service provider shall:</t>
    </r>
  </si>
  <si>
    <r>
      <t>Flexible Configuration</t>
    </r>
    <r>
      <rPr>
        <sz val="12"/>
        <color rgb="FF0D0D0D"/>
        <rFont val="Arial"/>
        <family val="2"/>
      </rPr>
      <t>.  Offer extensive configuration options to adapt to Certis’ specific scheduling, compliance, and reporting needs without requiring custom coding.</t>
    </r>
  </si>
  <si>
    <r>
      <t>User-defined Rules</t>
    </r>
    <r>
      <rPr>
        <sz val="12"/>
        <color theme="1"/>
        <rFont val="Arial"/>
        <family val="2"/>
      </rPr>
      <t>.  Ability for users to define and modify scheduling rules, compliance checks, and notification settings within the system’s interface.</t>
    </r>
  </si>
  <si>
    <r>
      <t>Adaptation to New Business Scenarios</t>
    </r>
    <r>
      <rPr>
        <sz val="12"/>
        <color theme="1"/>
        <rFont val="Arial"/>
        <family val="2"/>
      </rPr>
      <t>.  The system must be designed to easily accommodate new business scenarios, such as changes in workforce size, shift patterns, or compliance requirements, with minimal system modification.</t>
    </r>
  </si>
  <si>
    <r>
      <t>Modular Design</t>
    </r>
    <r>
      <rPr>
        <sz val="12"/>
        <color theme="1"/>
        <rFont val="Arial"/>
        <family val="2"/>
      </rPr>
      <t>.  Preferably, the system should have a modular design, allowing Certis to add or update modules as needed without affecting the overall system integrity.</t>
    </r>
  </si>
  <si>
    <t>3h.</t>
  </si>
  <si>
    <r>
      <t>Compliance to Data Standards and Policies.</t>
    </r>
    <r>
      <rPr>
        <sz val="12"/>
        <color theme="1"/>
        <rFont val="Arial"/>
        <family val="2"/>
      </rPr>
      <t xml:space="preserve">  The Software service provider shall demonstrate:</t>
    </r>
  </si>
  <si>
    <r>
      <t>Legal Compliance</t>
    </r>
    <r>
      <rPr>
        <sz val="12"/>
        <color rgb="FF000000"/>
        <rFont val="Arial"/>
        <family val="2"/>
      </rPr>
      <t>.  Your software complies with international and local data protection regulations (e.g., GDPR, HIPAA, PDPA, etc.)</t>
    </r>
  </si>
  <si>
    <r>
      <t>Data Privacy Laws</t>
    </r>
    <r>
      <rPr>
        <sz val="12"/>
        <color theme="1"/>
        <rFont val="Arial"/>
        <family val="2"/>
      </rPr>
      <t>.  Compliance with data protection laws relevant to the regions in which the platform operates.</t>
    </r>
  </si>
  <si>
    <r>
      <t xml:space="preserve">Data Isolation. </t>
    </r>
    <r>
      <rPr>
        <sz val="12"/>
        <color rgb="FF000000"/>
        <rFont val="Arial"/>
        <family val="2"/>
      </rPr>
      <t>ability to isolate data access and data storage in Australia and Singapore, while maintaining data centres in each country.</t>
    </r>
  </si>
  <si>
    <r>
      <t>Compliance with Certis data-related policies</t>
    </r>
    <r>
      <rPr>
        <sz val="12"/>
        <color rgb="FF000000"/>
        <rFont val="Arial"/>
        <family val="2"/>
      </rPr>
      <t>.  These documents will be forwarded separately to the vendor for consideration. (to delete)</t>
    </r>
  </si>
  <si>
    <t xml:space="preserve">The system must accommodate regulatory requirements, including the tracking of monthly overtime hours, daily max hour, consecutive working day, rest hour in between shift, max hour consecutive workind day for part timer within a week, Licenses - PLRD, RTT, PGPS, PABP, AO, Arm monitoring, </t>
  </si>
  <si>
    <t>Configuration and business rule by business/product type/employee group</t>
  </si>
  <si>
    <t>Cadence Related</t>
  </si>
  <si>
    <t>n</t>
  </si>
  <si>
    <t>LTMS</t>
  </si>
  <si>
    <t>Cadence</t>
  </si>
  <si>
    <t>y</t>
  </si>
  <si>
    <t>cadence</t>
  </si>
  <si>
    <t>BU Admin x 1
CLS/CAS/SLS Admin x 2
Segment Head x 5
Demand Mgr x 5
Divison Mgr x 25
OC x --
Cluster Exec x --
Site Supervisor x --
Officer x --
CICC Demand Mgr
CICC Duty OM
CICC Ops Planner
CICC Time Admin
Line HR
QMT
Deployment Mgr
Deployment Exec</t>
  </si>
  <si>
    <t xml:space="preserve">Requires Demand Object </t>
  </si>
  <si>
    <t>The system must support the integration process for new third-party systems to and from the NGRS framework. (AEMS, EJobCard, ATONCE, TITUS, RCMS, CADENCE, MASS+, Preboard Module, Allegro, LTMS, SF, SAP WBS)</t>
  </si>
  <si>
    <t>Creation of Contraints from LTMS &amp; SF</t>
  </si>
  <si>
    <t>Control at Super Admin Level</t>
  </si>
  <si>
    <t>Control at SF Level</t>
  </si>
  <si>
    <t>The system must support the process for setting up and creating NGRS User roles within the NGRS framework. Employee roles define by Supervisor/OM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</si>
</sst>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0"/>
      <color theme="1"/>
      <name val="Arial"/>
      <family val="2"/>
    </font>
    <font>
      <sz val="11"/>
      <color rgb="FF000000"/>
      <name val="Arial"/>
      <family val="2"/>
    </font>
    <font>
      <sz val="12"/>
      <color rgb="FF000000"/>
      <name val="Arial"/>
      <family val="2"/>
    </font>
    <font>
      <b/>
      <sz val="12"/>
      <color rgb="FF000000"/>
      <name val="Arial"/>
      <family val="2"/>
    </font>
    <font>
      <b/>
      <sz val="12"/>
      <color theme="1"/>
      <name val="Arial"/>
      <family val="2"/>
    </font>
    <font>
      <sz val="12"/>
      <color theme="1"/>
      <name val="Arial"/>
      <family val="2"/>
    </font>
    <font>
      <sz val="11"/>
      <color theme="1"/>
      <name val="Arial"/>
      <family val="2"/>
    </font>
    <font>
      <u/>
      <sz val="12"/>
      <color theme="1"/>
      <name val="Arial"/>
      <family val="2"/>
    </font>
    <font>
      <sz val="8"/>
      <color theme="1"/>
      <name val="Arial"/>
      <family val="2"/>
    </font>
    <font>
      <sz val="12"/>
      <color rgb="FFFF0000"/>
      <name val="Arial"/>
      <family val="2"/>
    </font>
    <font>
      <sz val="11"/>
      <color theme="0"/>
      <name val="Arial"/>
      <family val="2"/>
    </font>
    <font>
      <b/>
      <u/>
      <sz val="12"/>
      <color theme="1"/>
      <name val="Arial"/>
      <family val="2"/>
    </font>
    <font>
      <u/>
      <sz val="12"/>
      <color rgb="FF000000"/>
      <name val="Arial"/>
      <family val="2"/>
    </font>
    <font>
      <u/>
      <sz val="12"/>
      <color rgb="FF0D0D0D"/>
      <name val="Arial"/>
      <family val="2"/>
    </font>
    <font>
      <sz val="12"/>
      <color rgb="FF0D0D0D"/>
      <name val="Arial"/>
      <family val="2"/>
    </font>
    <font>
      <vertAlign val="superscript"/>
      <sz val="12"/>
      <color theme="1"/>
      <name val="Arial"/>
      <family val="2"/>
    </font>
    <font>
      <b/>
      <sz val="12"/>
      <color rgb="FF0D0D0D"/>
      <name val="Arial"/>
      <family val="2"/>
    </font>
    <font>
      <b/>
      <sz val="12"/>
      <color theme="0"/>
      <name val="Arial"/>
      <family val="2"/>
    </font>
    <font>
      <sz val="12"/>
      <color theme="0"/>
      <name val="Arial"/>
      <family val="2"/>
    </font>
    <font>
      <sz val="12"/>
      <name val="Arial"/>
      <family val="2"/>
    </font>
    <font>
      <b/>
      <sz val="11"/>
      <color theme="0"/>
      <name val="Arial"/>
      <family val="2"/>
    </font>
    <font>
      <b/>
      <sz val="11"/>
      <color theme="1"/>
      <name val="Arial"/>
      <family val="2"/>
    </font>
    <font>
      <b/>
      <sz val="8"/>
      <color theme="1"/>
      <name val="Arial"/>
      <family val="2"/>
    </font>
    <font>
      <b/>
      <sz val="8"/>
      <color theme="0"/>
      <name val="Arial"/>
      <family val="2"/>
    </font>
  </fonts>
  <fills count="17">
    <fill>
      <patternFill patternType="none"/>
    </fill>
    <fill>
      <patternFill patternType="gray125"/>
    </fill>
    <fill>
      <patternFill patternType="solid">
        <fgColor rgb="FFD9D9D9"/>
        <bgColor indexed="64"/>
      </patternFill>
    </fill>
    <fill>
      <patternFill patternType="solid">
        <fgColor theme="0" tint="-0.14999847407452621"/>
        <bgColor indexed="64"/>
      </patternFill>
    </fill>
    <fill>
      <patternFill patternType="lightUp"/>
    </fill>
    <fill>
      <patternFill patternType="solid">
        <fgColor rgb="FF002060"/>
        <bgColor indexed="64"/>
      </patternFill>
    </fill>
    <fill>
      <patternFill patternType="solid">
        <fgColor theme="8" tint="0.79998168889431442"/>
        <bgColor indexed="64"/>
      </patternFill>
    </fill>
    <fill>
      <patternFill patternType="solid">
        <fgColor theme="5"/>
        <bgColor indexed="64"/>
      </patternFill>
    </fill>
    <fill>
      <patternFill patternType="solid">
        <fgColor theme="7" tint="0.79998168889431442"/>
        <bgColor indexed="64"/>
      </patternFill>
    </fill>
    <fill>
      <patternFill patternType="solid">
        <fgColor rgb="FF00B0F0"/>
        <bgColor indexed="64"/>
      </patternFill>
    </fill>
    <fill>
      <patternFill patternType="solid">
        <fgColor theme="5" tint="0.79998168889431442"/>
        <bgColor indexed="64"/>
      </patternFill>
    </fill>
    <fill>
      <patternFill patternType="solid">
        <fgColor rgb="FF0070C0"/>
        <bgColor indexed="64"/>
      </patternFill>
    </fill>
    <fill>
      <patternFill patternType="solid">
        <fgColor theme="7" tint="-0.249977111117893"/>
        <bgColor indexed="64"/>
      </patternFill>
    </fill>
    <fill>
      <patternFill patternType="solid">
        <fgColor theme="6"/>
        <bgColor indexed="64"/>
      </patternFill>
    </fill>
    <fill>
      <patternFill patternType="solid">
        <fgColor theme="6" tint="0.39997558519241921"/>
        <bgColor indexed="64"/>
      </patternFill>
    </fill>
    <fill>
      <patternFill patternType="solid">
        <fgColor rgb="FFFFC000"/>
        <bgColor indexed="64"/>
      </patternFill>
    </fill>
    <fill>
      <patternFill patternType="solid">
        <fgColor rgb="FFC00000"/>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indexed="64"/>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indexed="64"/>
      </left>
      <right style="thin">
        <color theme="0" tint="-0.34998626667073579"/>
      </right>
      <top style="medium">
        <color indexed="64"/>
      </top>
      <bottom style="thin">
        <color theme="0" tint="-0.34998626667073579"/>
      </bottom>
      <diagonal/>
    </border>
    <border>
      <left style="thin">
        <color theme="0" tint="-0.34998626667073579"/>
      </left>
      <right style="thin">
        <color theme="0" tint="-0.34998626667073579"/>
      </right>
      <top style="medium">
        <color indexed="64"/>
      </top>
      <bottom style="thin">
        <color theme="0" tint="-0.34998626667073579"/>
      </bottom>
      <diagonal/>
    </border>
    <border>
      <left style="thin">
        <color theme="0" tint="-0.34998626667073579"/>
      </left>
      <right style="medium">
        <color indexed="64"/>
      </right>
      <top style="medium">
        <color indexed="64"/>
      </top>
      <bottom style="thin">
        <color theme="0" tint="-0.34998626667073579"/>
      </bottom>
      <diagonal/>
    </border>
    <border>
      <left style="thin">
        <color theme="0" tint="-0.34998626667073579"/>
      </left>
      <right style="medium">
        <color indexed="64"/>
      </right>
      <top style="thin">
        <color theme="0" tint="-0.34998626667073579"/>
      </top>
      <bottom style="thin">
        <color theme="0" tint="-0.34998626667073579"/>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tint="-0.34998626667073579"/>
      </left>
      <right/>
      <top style="medium">
        <color indexed="64"/>
      </top>
      <bottom style="thin">
        <color theme="0" tint="-0.34998626667073579"/>
      </bottom>
      <diagonal/>
    </border>
    <border>
      <left/>
      <right style="thin">
        <color theme="0" tint="-0.34998626667073579"/>
      </right>
      <top style="medium">
        <color indexed="64"/>
      </top>
      <bottom style="thin">
        <color theme="0" tint="-0.34998626667073579"/>
      </bottom>
      <diagonal/>
    </border>
    <border>
      <left style="medium">
        <color indexed="64"/>
      </left>
      <right style="thin">
        <color theme="0" tint="-0.34998626667073579"/>
      </right>
      <top style="thin">
        <color theme="0" tint="-0.34998626667073579"/>
      </top>
      <bottom style="double">
        <color indexed="64"/>
      </bottom>
      <diagonal/>
    </border>
    <border>
      <left style="thin">
        <color theme="0" tint="-0.34998626667073579"/>
      </left>
      <right style="thin">
        <color theme="0" tint="-0.34998626667073579"/>
      </right>
      <top style="thin">
        <color theme="0" tint="-0.34998626667073579"/>
      </top>
      <bottom style="double">
        <color indexed="64"/>
      </bottom>
      <diagonal/>
    </border>
    <border>
      <left style="thin">
        <color theme="0" tint="-0.34998626667073579"/>
      </left>
      <right style="medium">
        <color indexed="64"/>
      </right>
      <top style="thin">
        <color theme="0" tint="-0.34998626667073579"/>
      </top>
      <bottom style="double">
        <color indexed="64"/>
      </bottom>
      <diagonal/>
    </border>
    <border>
      <left/>
      <right style="thin">
        <color theme="0" tint="-0.34998626667073579"/>
      </right>
      <top style="thin">
        <color theme="0" tint="-0.34998626667073579"/>
      </top>
      <bottom style="double">
        <color indexed="64"/>
      </bottom>
      <diagonal/>
    </border>
    <border>
      <left/>
      <right style="medium">
        <color indexed="64"/>
      </right>
      <top style="medium">
        <color indexed="64"/>
      </top>
      <bottom style="thin">
        <color theme="0" tint="-0.34998626667073579"/>
      </bottom>
      <diagonal/>
    </border>
    <border>
      <left/>
      <right style="medium">
        <color indexed="64"/>
      </right>
      <top style="thin">
        <color theme="0" tint="-0.34998626667073579"/>
      </top>
      <bottom style="thin">
        <color theme="0" tint="-0.34998626667073579"/>
      </bottom>
      <diagonal/>
    </border>
    <border>
      <left/>
      <right style="medium">
        <color indexed="64"/>
      </right>
      <top style="thin">
        <color theme="0" tint="-0.34998626667073579"/>
      </top>
      <bottom style="double">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style="medium">
        <color indexed="64"/>
      </bottom>
      <diagonal/>
    </border>
    <border>
      <left style="thin">
        <color theme="0" tint="-0.34998626667073579"/>
      </left>
      <right style="thin">
        <color theme="0" tint="-0.34998626667073579"/>
      </right>
      <top/>
      <bottom style="medium">
        <color indexed="64"/>
      </bottom>
      <diagonal/>
    </border>
    <border>
      <left style="medium">
        <color indexed="64"/>
      </left>
      <right style="thin">
        <color theme="0" tint="-0.34998626667073579"/>
      </right>
      <top style="thin">
        <color theme="0" tint="-0.34998626667073579"/>
      </top>
      <bottom style="medium">
        <color indexed="64"/>
      </bottom>
      <diagonal/>
    </border>
    <border>
      <left style="thin">
        <color theme="0" tint="-0.34998626667073579"/>
      </left>
      <right style="medium">
        <color indexed="64"/>
      </right>
      <top style="thin">
        <color theme="0" tint="-0.34998626667073579"/>
      </top>
      <bottom style="medium">
        <color indexed="64"/>
      </bottom>
      <diagonal/>
    </border>
  </borders>
  <cellStyleXfs count="1">
    <xf numFmtId="0" fontId="0" fillId="0" borderId="0"/>
  </cellStyleXfs>
  <cellXfs count="238">
    <xf numFmtId="0" fontId="0" fillId="0" borderId="0" xfId="0"/>
    <xf numFmtId="0" fontId="1" fillId="0" borderId="0" xfId="0" applyFont="1" applyAlignment="1">
      <alignment vertical="center"/>
    </xf>
    <xf numFmtId="0" fontId="6" fillId="0" borderId="1" xfId="0" applyFont="1" applyBorder="1" applyAlignment="1">
      <alignment horizontal="center" vertical="center"/>
    </xf>
    <xf numFmtId="0" fontId="7" fillId="0" borderId="0" xfId="0" applyFont="1" applyAlignment="1">
      <alignment horizontal="center" vertical="center"/>
    </xf>
    <xf numFmtId="0" fontId="7" fillId="0" borderId="0" xfId="0" applyFont="1"/>
    <xf numFmtId="0" fontId="6" fillId="0" borderId="1" xfId="0" applyFont="1" applyBorder="1" applyAlignment="1">
      <alignment vertical="center"/>
    </xf>
    <xf numFmtId="0" fontId="8" fillId="0" borderId="1" xfId="0" applyFont="1" applyBorder="1" applyAlignment="1">
      <alignment vertical="center"/>
    </xf>
    <xf numFmtId="0" fontId="6" fillId="0" borderId="1" xfId="0" applyFont="1" applyBorder="1" applyAlignment="1">
      <alignment horizontal="left" vertical="center"/>
    </xf>
    <xf numFmtId="0" fontId="3" fillId="0" borderId="1" xfId="0" applyFont="1" applyBorder="1"/>
    <xf numFmtId="0" fontId="7" fillId="0" borderId="0" xfId="0" applyFont="1" applyAlignment="1">
      <alignment horizontal="center"/>
    </xf>
    <xf numFmtId="0" fontId="7" fillId="0" borderId="0" xfId="0" applyFont="1" applyAlignment="1">
      <alignment vertical="center"/>
    </xf>
    <xf numFmtId="0" fontId="7" fillId="0" borderId="0" xfId="0" applyFont="1" applyAlignment="1">
      <alignment horizontal="left"/>
    </xf>
    <xf numFmtId="0" fontId="4" fillId="2" borderId="1" xfId="0" applyFont="1" applyFill="1" applyBorder="1" applyAlignment="1">
      <alignment horizontal="left" vertical="center"/>
    </xf>
    <xf numFmtId="0" fontId="5" fillId="3" borderId="1" xfId="0" applyFont="1" applyFill="1" applyBorder="1" applyAlignment="1">
      <alignment vertical="center"/>
    </xf>
    <xf numFmtId="0" fontId="6" fillId="0" borderId="0" xfId="0" applyFont="1"/>
    <xf numFmtId="0" fontId="6" fillId="0" borderId="0" xfId="0" applyFont="1" applyAlignment="1">
      <alignment horizontal="left" vertical="center"/>
    </xf>
    <xf numFmtId="0" fontId="6" fillId="0" borderId="1" xfId="0" applyFont="1" applyBorder="1"/>
    <xf numFmtId="0" fontId="6" fillId="0" borderId="0" xfId="0" applyFont="1" applyAlignment="1">
      <alignment horizontal="center" vertical="center"/>
    </xf>
    <xf numFmtId="0" fontId="19" fillId="0" borderId="0" xfId="0" applyFont="1"/>
    <xf numFmtId="0" fontId="6" fillId="0" borderId="0" xfId="0" applyFont="1" applyAlignment="1">
      <alignment horizontal="left"/>
    </xf>
    <xf numFmtId="0" fontId="6" fillId="0" borderId="0" xfId="0" applyFont="1" applyAlignment="1">
      <alignment vertical="center"/>
    </xf>
    <xf numFmtId="0" fontId="6" fillId="0" borderId="1" xfId="0" applyFont="1" applyBorder="1" applyAlignment="1">
      <alignment horizontal="left"/>
    </xf>
    <xf numFmtId="0" fontId="6" fillId="0" borderId="0" xfId="0" applyFont="1" applyAlignment="1">
      <alignment horizontal="center"/>
    </xf>
    <xf numFmtId="0" fontId="6" fillId="6" borderId="1" xfId="0" applyFont="1" applyFill="1" applyBorder="1" applyAlignment="1">
      <alignment horizontal="center" vertical="center"/>
    </xf>
    <xf numFmtId="0" fontId="6" fillId="6" borderId="1" xfId="0" applyFont="1" applyFill="1" applyBorder="1" applyAlignment="1">
      <alignment horizontal="left" vertical="center"/>
    </xf>
    <xf numFmtId="0" fontId="13" fillId="0" borderId="1" xfId="0" applyFont="1" applyBorder="1" applyAlignment="1">
      <alignment vertical="center"/>
    </xf>
    <xf numFmtId="0" fontId="6" fillId="0" borderId="1" xfId="0" applyFont="1" applyBorder="1" applyAlignment="1">
      <alignment horizontal="center"/>
    </xf>
    <xf numFmtId="0" fontId="4" fillId="2" borderId="1" xfId="0" applyFont="1" applyFill="1" applyBorder="1" applyAlignment="1">
      <alignment horizontal="center" vertical="center"/>
    </xf>
    <xf numFmtId="0" fontId="4" fillId="2" borderId="3" xfId="0" applyFont="1" applyFill="1" applyBorder="1" applyAlignment="1">
      <alignment vertical="center"/>
    </xf>
    <xf numFmtId="0" fontId="5" fillId="3" borderId="3" xfId="0" applyFont="1" applyFill="1" applyBorder="1" applyAlignment="1">
      <alignment vertical="center"/>
    </xf>
    <xf numFmtId="0" fontId="4" fillId="2" borderId="3" xfId="0" applyFont="1" applyFill="1" applyBorder="1" applyAlignment="1">
      <alignment horizontal="center" vertical="center"/>
    </xf>
    <xf numFmtId="0" fontId="6" fillId="0" borderId="3" xfId="0" applyFont="1" applyBorder="1" applyAlignment="1">
      <alignment vertical="center"/>
    </xf>
    <xf numFmtId="0" fontId="14" fillId="0" borderId="3" xfId="0" applyFont="1" applyBorder="1" applyAlignment="1">
      <alignment vertical="center"/>
    </xf>
    <xf numFmtId="0" fontId="6" fillId="0" borderId="3" xfId="0" applyFont="1" applyBorder="1" applyAlignment="1">
      <alignment horizontal="center" vertical="center"/>
    </xf>
    <xf numFmtId="0" fontId="6" fillId="6" borderId="3" xfId="0" applyFont="1" applyFill="1" applyBorder="1" applyAlignment="1">
      <alignment horizontal="center" vertical="center"/>
    </xf>
    <xf numFmtId="0" fontId="6" fillId="6" borderId="3" xfId="0" applyFont="1" applyFill="1" applyBorder="1" applyAlignment="1">
      <alignment horizontal="left" vertical="center"/>
    </xf>
    <xf numFmtId="0" fontId="8" fillId="0" borderId="3" xfId="0" applyFont="1" applyBorder="1" applyAlignment="1">
      <alignment vertical="center"/>
    </xf>
    <xf numFmtId="0" fontId="13" fillId="0" borderId="3" xfId="0" applyFont="1" applyBorder="1" applyAlignment="1">
      <alignment horizontal="left" vertical="center"/>
    </xf>
    <xf numFmtId="0" fontId="8" fillId="0" borderId="3" xfId="0" applyFont="1" applyBorder="1" applyAlignment="1">
      <alignment horizontal="left" vertical="center"/>
    </xf>
    <xf numFmtId="0" fontId="6" fillId="5" borderId="3" xfId="0" applyFont="1" applyFill="1" applyBorder="1" applyAlignment="1">
      <alignment horizontal="center" vertical="center"/>
    </xf>
    <xf numFmtId="0" fontId="19" fillId="5" borderId="3" xfId="0" applyFont="1" applyFill="1" applyBorder="1" applyAlignment="1">
      <alignment horizontal="left" vertical="center"/>
    </xf>
    <xf numFmtId="0" fontId="3" fillId="0" borderId="3" xfId="0" applyFont="1" applyBorder="1" applyAlignment="1">
      <alignment horizontal="left" vertical="center"/>
    </xf>
    <xf numFmtId="0" fontId="4" fillId="2" borderId="3" xfId="0" applyFont="1" applyFill="1" applyBorder="1" applyAlignment="1">
      <alignment horizontal="left" vertical="center"/>
    </xf>
    <xf numFmtId="0" fontId="13" fillId="0" borderId="3" xfId="0" applyFont="1" applyBorder="1" applyAlignment="1">
      <alignment vertical="center"/>
    </xf>
    <xf numFmtId="0" fontId="6" fillId="0" borderId="3" xfId="0" applyFont="1" applyBorder="1" applyAlignment="1">
      <alignment horizontal="left" vertical="center"/>
    </xf>
    <xf numFmtId="0" fontId="7" fillId="0" borderId="3" xfId="0" applyFont="1" applyBorder="1" applyAlignment="1">
      <alignment horizontal="left" vertical="center"/>
    </xf>
    <xf numFmtId="0" fontId="7" fillId="6" borderId="3" xfId="0" applyFont="1" applyFill="1" applyBorder="1" applyAlignment="1">
      <alignment horizontal="center" vertical="center"/>
    </xf>
    <xf numFmtId="0" fontId="7" fillId="6" borderId="3" xfId="0" applyFont="1" applyFill="1" applyBorder="1" applyAlignment="1">
      <alignment horizontal="left" vertical="center"/>
    </xf>
    <xf numFmtId="0" fontId="6" fillId="0" borderId="3" xfId="0" applyFont="1" applyBorder="1" applyAlignment="1">
      <alignment vertical="top"/>
    </xf>
    <xf numFmtId="0" fontId="11" fillId="5" borderId="3" xfId="0" applyFont="1" applyFill="1" applyBorder="1" applyAlignment="1">
      <alignment vertical="center"/>
    </xf>
    <xf numFmtId="0" fontId="7" fillId="5" borderId="3" xfId="0" applyFont="1" applyFill="1" applyBorder="1" applyAlignment="1">
      <alignment horizontal="center"/>
    </xf>
    <xf numFmtId="0" fontId="2" fillId="0" borderId="3" xfId="0" applyFont="1" applyBorder="1"/>
    <xf numFmtId="0" fontId="7" fillId="0" borderId="3" xfId="0" applyFont="1" applyBorder="1" applyAlignment="1">
      <alignment horizontal="center"/>
    </xf>
    <xf numFmtId="0" fontId="7" fillId="0" borderId="3" xfId="0" applyFont="1" applyBorder="1" applyAlignment="1">
      <alignment horizontal="left"/>
    </xf>
    <xf numFmtId="0" fontId="7" fillId="0" borderId="3" xfId="0" applyFont="1" applyBorder="1" applyAlignment="1">
      <alignment horizontal="center" vertical="center"/>
    </xf>
    <xf numFmtId="0" fontId="2" fillId="0" borderId="3" xfId="0" applyFont="1" applyBorder="1" applyAlignment="1">
      <alignment vertical="center"/>
    </xf>
    <xf numFmtId="0" fontId="3" fillId="0" borderId="3" xfId="0" applyFont="1" applyBorder="1"/>
    <xf numFmtId="0" fontId="11" fillId="0" borderId="0" xfId="0" applyFont="1" applyAlignment="1">
      <alignment horizontal="center"/>
    </xf>
    <xf numFmtId="0" fontId="6" fillId="0" borderId="3" xfId="0" applyFont="1" applyBorder="1"/>
    <xf numFmtId="0" fontId="13" fillId="0" borderId="3" xfId="0" applyFont="1" applyBorder="1"/>
    <xf numFmtId="0" fontId="6" fillId="0" borderId="3" xfId="0" applyFont="1" applyBorder="1" applyAlignment="1">
      <alignment horizontal="center"/>
    </xf>
    <xf numFmtId="0" fontId="7" fillId="6" borderId="3" xfId="0" applyFont="1" applyFill="1" applyBorder="1" applyAlignment="1">
      <alignment horizontal="center"/>
    </xf>
    <xf numFmtId="0" fontId="7" fillId="6" borderId="3" xfId="0" applyFont="1" applyFill="1" applyBorder="1" applyAlignment="1">
      <alignment horizontal="left"/>
    </xf>
    <xf numFmtId="0" fontId="8" fillId="0" borderId="3" xfId="0" applyFont="1" applyBorder="1"/>
    <xf numFmtId="0" fontId="5" fillId="0" borderId="3" xfId="0" applyFont="1" applyBorder="1"/>
    <xf numFmtId="0" fontId="7" fillId="0" borderId="3" xfId="0" applyFont="1" applyBorder="1"/>
    <xf numFmtId="0" fontId="5" fillId="3" borderId="3" xfId="0" applyFont="1" applyFill="1" applyBorder="1"/>
    <xf numFmtId="0" fontId="4" fillId="2" borderId="3" xfId="0" applyFont="1" applyFill="1" applyBorder="1" applyAlignment="1">
      <alignment horizontal="center"/>
    </xf>
    <xf numFmtId="0" fontId="4" fillId="2" borderId="3" xfId="0" applyFont="1" applyFill="1" applyBorder="1" applyAlignment="1">
      <alignment horizontal="left"/>
    </xf>
    <xf numFmtId="0" fontId="6" fillId="0" borderId="3" xfId="0" applyFont="1" applyBorder="1" applyAlignment="1">
      <alignment horizontal="left"/>
    </xf>
    <xf numFmtId="0" fontId="7" fillId="5" borderId="3" xfId="0" applyFont="1" applyFill="1" applyBorder="1" applyAlignment="1">
      <alignment horizontal="left"/>
    </xf>
    <xf numFmtId="0" fontId="19" fillId="0" borderId="0" xfId="0" applyFont="1" applyAlignment="1">
      <alignment horizontal="center"/>
    </xf>
    <xf numFmtId="0" fontId="12" fillId="0" borderId="3" xfId="0" applyFont="1" applyBorder="1" applyAlignment="1">
      <alignment vertical="center"/>
    </xf>
    <xf numFmtId="0" fontId="5" fillId="0" borderId="3" xfId="0" applyFont="1" applyBorder="1" applyAlignment="1">
      <alignment vertical="center"/>
    </xf>
    <xf numFmtId="0" fontId="5" fillId="4" borderId="3" xfId="0" applyFont="1" applyFill="1" applyBorder="1" applyAlignment="1">
      <alignment horizontal="center" vertical="center"/>
    </xf>
    <xf numFmtId="0" fontId="5" fillId="4" borderId="3" xfId="0" applyFont="1" applyFill="1" applyBorder="1" applyAlignment="1">
      <alignment horizontal="left" vertical="center"/>
    </xf>
    <xf numFmtId="0" fontId="5" fillId="0" borderId="3" xfId="0" applyFont="1" applyBorder="1" applyAlignment="1">
      <alignment horizontal="center" vertical="center"/>
    </xf>
    <xf numFmtId="0" fontId="6" fillId="5" borderId="3" xfId="0" applyFont="1" applyFill="1" applyBorder="1"/>
    <xf numFmtId="0" fontId="19" fillId="5" borderId="3" xfId="0" applyFont="1" applyFill="1" applyBorder="1"/>
    <xf numFmtId="0" fontId="6" fillId="5" borderId="3" xfId="0" applyFont="1" applyFill="1" applyBorder="1" applyAlignment="1">
      <alignment horizontal="center"/>
    </xf>
    <xf numFmtId="0" fontId="3" fillId="0" borderId="3" xfId="0" applyFont="1" applyBorder="1" applyAlignment="1">
      <alignment vertical="center"/>
    </xf>
    <xf numFmtId="0" fontId="7" fillId="0" borderId="4" xfId="0" applyFont="1" applyBorder="1" applyAlignment="1">
      <alignment horizontal="center"/>
    </xf>
    <xf numFmtId="0" fontId="7" fillId="0" borderId="5" xfId="0" applyFont="1" applyBorder="1"/>
    <xf numFmtId="0" fontId="7" fillId="3" borderId="3" xfId="0" applyFont="1" applyFill="1" applyBorder="1" applyAlignment="1">
      <alignment horizontal="center"/>
    </xf>
    <xf numFmtId="0" fontId="7" fillId="3" borderId="3" xfId="0" applyFont="1" applyFill="1" applyBorder="1"/>
    <xf numFmtId="0" fontId="7" fillId="3" borderId="5" xfId="0" applyFont="1" applyFill="1" applyBorder="1"/>
    <xf numFmtId="0" fontId="7" fillId="0" borderId="6" xfId="0" applyFont="1" applyBorder="1" applyAlignment="1">
      <alignment horizontal="center"/>
    </xf>
    <xf numFmtId="0" fontId="7" fillId="3" borderId="6" xfId="0" applyFont="1" applyFill="1" applyBorder="1" applyAlignment="1">
      <alignment horizontal="center"/>
    </xf>
    <xf numFmtId="0" fontId="7" fillId="0" borderId="10" xfId="0" applyFont="1" applyBorder="1" applyAlignment="1">
      <alignment horizontal="center"/>
    </xf>
    <xf numFmtId="0" fontId="7" fillId="3" borderId="4" xfId="0" applyFont="1" applyFill="1" applyBorder="1" applyAlignment="1">
      <alignment horizontal="center"/>
    </xf>
    <xf numFmtId="0" fontId="7" fillId="3" borderId="10" xfId="0" applyFont="1" applyFill="1" applyBorder="1" applyAlignment="1">
      <alignment horizontal="center"/>
    </xf>
    <xf numFmtId="0" fontId="22" fillId="6" borderId="11" xfId="0" applyFont="1" applyFill="1" applyBorder="1" applyAlignment="1">
      <alignment horizontal="center"/>
    </xf>
    <xf numFmtId="0" fontId="22" fillId="6" borderId="12" xfId="0" applyFont="1" applyFill="1" applyBorder="1" applyAlignment="1">
      <alignment horizontal="center"/>
    </xf>
    <xf numFmtId="0" fontId="22" fillId="6" borderId="13" xfId="0" applyFont="1" applyFill="1" applyBorder="1" applyAlignment="1">
      <alignment horizontal="center"/>
    </xf>
    <xf numFmtId="0" fontId="22" fillId="6" borderId="11" xfId="0" applyFont="1" applyFill="1" applyBorder="1"/>
    <xf numFmtId="0" fontId="22" fillId="6" borderId="12" xfId="0" applyFont="1" applyFill="1" applyBorder="1"/>
    <xf numFmtId="0" fontId="7" fillId="0" borderId="16" xfId="0" applyFont="1" applyBorder="1" applyAlignment="1">
      <alignment horizontal="center"/>
    </xf>
    <xf numFmtId="0" fontId="7" fillId="0" borderId="17" xfId="0" applyFont="1" applyBorder="1" applyAlignment="1">
      <alignment horizontal="center"/>
    </xf>
    <xf numFmtId="0" fontId="7" fillId="0" borderId="18" xfId="0" applyFont="1" applyBorder="1" applyAlignment="1">
      <alignment horizontal="center"/>
    </xf>
    <xf numFmtId="0" fontId="7" fillId="0" borderId="19" xfId="0" applyFont="1" applyBorder="1" applyAlignment="1">
      <alignment horizontal="center"/>
    </xf>
    <xf numFmtId="0" fontId="22" fillId="6" borderId="3" xfId="0" applyFont="1" applyFill="1" applyBorder="1" applyAlignment="1">
      <alignment horizontal="center"/>
    </xf>
    <xf numFmtId="0" fontId="22" fillId="6" borderId="24" xfId="0" applyFont="1" applyFill="1" applyBorder="1" applyAlignment="1">
      <alignment horizontal="center"/>
    </xf>
    <xf numFmtId="0" fontId="22" fillId="6" borderId="25" xfId="0" applyFont="1" applyFill="1" applyBorder="1" applyAlignment="1">
      <alignment horizontal="center"/>
    </xf>
    <xf numFmtId="0" fontId="9" fillId="0" borderId="21" xfId="0" applyFont="1" applyBorder="1" applyAlignment="1">
      <alignment horizontal="center"/>
    </xf>
    <xf numFmtId="0" fontId="9" fillId="3" borderId="21" xfId="0" applyFont="1" applyFill="1" applyBorder="1" applyAlignment="1">
      <alignment horizontal="center"/>
    </xf>
    <xf numFmtId="0" fontId="9" fillId="0" borderId="22" xfId="0" applyFont="1" applyBorder="1" applyAlignment="1">
      <alignment horizontal="center"/>
    </xf>
    <xf numFmtId="0" fontId="23" fillId="6" borderId="13" xfId="0" applyFont="1" applyFill="1" applyBorder="1" applyAlignment="1">
      <alignment horizontal="center"/>
    </xf>
    <xf numFmtId="0" fontId="22" fillId="8" borderId="0" xfId="0" applyFont="1" applyFill="1"/>
    <xf numFmtId="0" fontId="7" fillId="8" borderId="0" xfId="0" applyFont="1" applyFill="1"/>
    <xf numFmtId="0" fontId="7" fillId="8" borderId="0" xfId="0" applyFont="1" applyFill="1" applyAlignment="1">
      <alignment horizontal="center"/>
    </xf>
    <xf numFmtId="0" fontId="6" fillId="10" borderId="3" xfId="0" applyFont="1" applyFill="1" applyBorder="1" applyAlignment="1">
      <alignment horizontal="center" vertical="center"/>
    </xf>
    <xf numFmtId="0" fontId="5" fillId="9" borderId="0" xfId="0" applyFont="1" applyFill="1" applyAlignment="1">
      <alignment horizontal="center" vertical="top" wrapText="1"/>
    </xf>
    <xf numFmtId="0" fontId="5" fillId="9" borderId="0" xfId="0" applyFont="1" applyFill="1" applyAlignment="1">
      <alignment horizontal="left" vertical="top" wrapText="1"/>
    </xf>
    <xf numFmtId="0" fontId="6" fillId="0" borderId="0" xfId="0" applyFont="1" applyAlignment="1">
      <alignment vertical="top"/>
    </xf>
    <xf numFmtId="0" fontId="4" fillId="2" borderId="3" xfId="0" applyFont="1" applyFill="1" applyBorder="1" applyAlignment="1">
      <alignment vertical="top"/>
    </xf>
    <xf numFmtId="0" fontId="5" fillId="3" borderId="3" xfId="0" applyFont="1" applyFill="1" applyBorder="1" applyAlignment="1">
      <alignment vertical="top"/>
    </xf>
    <xf numFmtId="0" fontId="4" fillId="2" borderId="3" xfId="0" applyFont="1" applyFill="1" applyBorder="1" applyAlignment="1">
      <alignment horizontal="center" vertical="top"/>
    </xf>
    <xf numFmtId="0" fontId="4" fillId="2" borderId="3" xfId="0" applyFont="1" applyFill="1" applyBorder="1" applyAlignment="1">
      <alignment horizontal="left" vertical="top"/>
    </xf>
    <xf numFmtId="0" fontId="18" fillId="5" borderId="3" xfId="0" applyFont="1" applyFill="1" applyBorder="1" applyAlignment="1">
      <alignment horizontal="center" vertical="top"/>
    </xf>
    <xf numFmtId="0" fontId="18" fillId="5" borderId="3" xfId="0" applyFont="1" applyFill="1" applyBorder="1" applyAlignment="1">
      <alignment horizontal="left" vertical="top"/>
    </xf>
    <xf numFmtId="0" fontId="5" fillId="9" borderId="3" xfId="0" applyFont="1" applyFill="1" applyBorder="1" applyAlignment="1">
      <alignment horizontal="center" vertical="top" wrapText="1"/>
    </xf>
    <xf numFmtId="0" fontId="5" fillId="9" borderId="3" xfId="0" applyFont="1" applyFill="1" applyBorder="1" applyAlignment="1">
      <alignment horizontal="left" vertical="top" wrapText="1"/>
    </xf>
    <xf numFmtId="0" fontId="7" fillId="10" borderId="3" xfId="0" applyFont="1" applyFill="1" applyBorder="1" applyAlignment="1">
      <alignment horizontal="center" vertical="center"/>
    </xf>
    <xf numFmtId="0" fontId="7" fillId="10" borderId="3" xfId="0" applyFont="1" applyFill="1" applyBorder="1" applyAlignment="1">
      <alignment horizontal="left" vertical="center"/>
    </xf>
    <xf numFmtId="0" fontId="6" fillId="10" borderId="3" xfId="0" applyFont="1" applyFill="1" applyBorder="1" applyAlignment="1">
      <alignment horizontal="center"/>
    </xf>
    <xf numFmtId="0" fontId="4" fillId="2" borderId="1" xfId="0" applyFont="1" applyFill="1" applyBorder="1" applyAlignment="1">
      <alignment vertical="top"/>
    </xf>
    <xf numFmtId="0" fontId="5" fillId="3" borderId="1" xfId="0" applyFont="1" applyFill="1" applyBorder="1" applyAlignment="1">
      <alignment vertical="top"/>
    </xf>
    <xf numFmtId="0" fontId="4" fillId="2" borderId="1" xfId="0" applyFont="1" applyFill="1" applyBorder="1" applyAlignment="1">
      <alignment horizontal="center" vertical="top"/>
    </xf>
    <xf numFmtId="0" fontId="18" fillId="5" borderId="1" xfId="0" applyFont="1" applyFill="1" applyBorder="1" applyAlignment="1">
      <alignment horizontal="center" vertical="top"/>
    </xf>
    <xf numFmtId="0" fontId="18" fillId="5" borderId="1" xfId="0" applyFont="1" applyFill="1" applyBorder="1" applyAlignment="1">
      <alignment horizontal="left" vertical="top"/>
    </xf>
    <xf numFmtId="0" fontId="7" fillId="0" borderId="0" xfId="0" applyFont="1" applyAlignment="1">
      <alignment vertical="top"/>
    </xf>
    <xf numFmtId="0" fontId="7" fillId="10" borderId="3" xfId="0" applyFont="1" applyFill="1" applyBorder="1"/>
    <xf numFmtId="0" fontId="7" fillId="10" borderId="3" xfId="0" applyFont="1" applyFill="1" applyBorder="1" applyAlignment="1">
      <alignment horizontal="center"/>
    </xf>
    <xf numFmtId="0" fontId="6" fillId="10" borderId="3" xfId="0" applyFont="1" applyFill="1" applyBorder="1"/>
    <xf numFmtId="0" fontId="4" fillId="2" borderId="1" xfId="0" applyFont="1" applyFill="1" applyBorder="1" applyAlignment="1">
      <alignment horizontal="left" vertical="top"/>
    </xf>
    <xf numFmtId="0" fontId="6" fillId="10" borderId="1" xfId="0" applyFont="1" applyFill="1" applyBorder="1" applyAlignment="1">
      <alignment horizontal="left" vertical="center"/>
    </xf>
    <xf numFmtId="0" fontId="5" fillId="3" borderId="3" xfId="0" applyFont="1" applyFill="1" applyBorder="1" applyAlignment="1">
      <alignment horizontal="left" vertical="top"/>
    </xf>
    <xf numFmtId="0" fontId="22" fillId="6" borderId="3" xfId="0" applyFont="1" applyFill="1" applyBorder="1"/>
    <xf numFmtId="0" fontId="21" fillId="5" borderId="7" xfId="0" applyFont="1" applyFill="1" applyBorder="1" applyAlignment="1">
      <alignment horizontal="center" vertical="center"/>
    </xf>
    <xf numFmtId="0" fontId="21" fillId="5" borderId="14" xfId="0" applyFont="1" applyFill="1" applyBorder="1" applyAlignment="1">
      <alignment vertical="center"/>
    </xf>
    <xf numFmtId="0" fontId="24" fillId="5" borderId="8" xfId="0" applyFont="1" applyFill="1" applyBorder="1" applyAlignment="1">
      <alignment horizontal="center" vertical="center"/>
    </xf>
    <xf numFmtId="0" fontId="21" fillId="5" borderId="9" xfId="0" applyFont="1" applyFill="1" applyBorder="1" applyAlignment="1">
      <alignment horizontal="center" vertical="center"/>
    </xf>
    <xf numFmtId="0" fontId="21" fillId="7" borderId="15" xfId="0" applyFont="1" applyFill="1" applyBorder="1" applyAlignment="1">
      <alignment horizontal="center" vertical="center"/>
    </xf>
    <xf numFmtId="0" fontId="21" fillId="7" borderId="9" xfId="0" applyFont="1" applyFill="1" applyBorder="1" applyAlignment="1">
      <alignment horizontal="center" vertical="center"/>
    </xf>
    <xf numFmtId="0" fontId="21" fillId="7" borderId="20" xfId="0" applyFont="1" applyFill="1" applyBorder="1" applyAlignment="1">
      <alignment horizontal="center" vertical="center"/>
    </xf>
    <xf numFmtId="0" fontId="24" fillId="7" borderId="8" xfId="0" applyFont="1" applyFill="1" applyBorder="1" applyAlignment="1">
      <alignment horizontal="center" vertical="center"/>
    </xf>
    <xf numFmtId="0" fontId="21" fillId="11" borderId="3" xfId="0" applyFont="1" applyFill="1" applyBorder="1" applyAlignment="1">
      <alignment horizontal="center" vertical="center"/>
    </xf>
    <xf numFmtId="0" fontId="21" fillId="11" borderId="5" xfId="0" applyFont="1" applyFill="1" applyBorder="1" applyAlignment="1">
      <alignment vertical="center"/>
    </xf>
    <xf numFmtId="0" fontId="22" fillId="6" borderId="5" xfId="0" applyFont="1" applyFill="1" applyBorder="1"/>
    <xf numFmtId="0" fontId="22" fillId="6" borderId="6" xfId="0" applyFont="1" applyFill="1" applyBorder="1" applyAlignment="1">
      <alignment horizontal="center"/>
    </xf>
    <xf numFmtId="0" fontId="21" fillId="11" borderId="7" xfId="0" applyFont="1" applyFill="1" applyBorder="1" applyAlignment="1">
      <alignment horizontal="center" vertical="center"/>
    </xf>
    <xf numFmtId="0" fontId="7" fillId="11" borderId="8" xfId="0" applyFont="1" applyFill="1" applyBorder="1" applyAlignment="1">
      <alignment horizontal="center" vertical="center"/>
    </xf>
    <xf numFmtId="0" fontId="7" fillId="11" borderId="9" xfId="0" applyFont="1" applyFill="1" applyBorder="1" applyAlignment="1">
      <alignment horizontal="center" vertical="center"/>
    </xf>
    <xf numFmtId="0" fontId="22" fillId="6" borderId="26" xfId="0" applyFont="1" applyFill="1" applyBorder="1" applyAlignment="1">
      <alignment horizontal="center"/>
    </xf>
    <xf numFmtId="0" fontId="22" fillId="6" borderId="27" xfId="0" applyFont="1" applyFill="1" applyBorder="1" applyAlignment="1">
      <alignment horizontal="center"/>
    </xf>
    <xf numFmtId="0" fontId="24" fillId="11" borderId="7" xfId="0" applyFont="1" applyFill="1" applyBorder="1" applyAlignment="1">
      <alignment horizontal="center" vertical="center"/>
    </xf>
    <xf numFmtId="0" fontId="7" fillId="3" borderId="4" xfId="0" applyFont="1" applyFill="1" applyBorder="1"/>
    <xf numFmtId="0" fontId="7" fillId="3" borderId="10" xfId="0" applyFont="1" applyFill="1" applyBorder="1"/>
    <xf numFmtId="0" fontId="21" fillId="12" borderId="7" xfId="0" applyFont="1" applyFill="1" applyBorder="1" applyAlignment="1">
      <alignment horizontal="center" vertical="center"/>
    </xf>
    <xf numFmtId="0" fontId="24" fillId="12" borderId="7" xfId="0" applyFont="1" applyFill="1" applyBorder="1" applyAlignment="1">
      <alignment horizontal="center" vertical="center"/>
    </xf>
    <xf numFmtId="0" fontId="21" fillId="13" borderId="6" xfId="0" applyFont="1" applyFill="1" applyBorder="1" applyAlignment="1">
      <alignment horizontal="center" vertical="center"/>
    </xf>
    <xf numFmtId="0" fontId="7" fillId="12" borderId="8" xfId="0" applyFont="1" applyFill="1" applyBorder="1" applyAlignment="1">
      <alignment horizontal="center" vertical="center"/>
    </xf>
    <xf numFmtId="0" fontId="7" fillId="12" borderId="9" xfId="0" applyFont="1" applyFill="1" applyBorder="1" applyAlignment="1">
      <alignment horizontal="center" vertical="center"/>
    </xf>
    <xf numFmtId="0" fontId="7" fillId="13" borderId="3" xfId="0" applyFont="1" applyFill="1" applyBorder="1" applyAlignment="1">
      <alignment horizontal="center" vertical="center"/>
    </xf>
    <xf numFmtId="0" fontId="4" fillId="2" borderId="2" xfId="0" applyFont="1" applyFill="1" applyBorder="1" applyAlignment="1">
      <alignment vertical="top" wrapText="1"/>
    </xf>
    <xf numFmtId="0" fontId="4" fillId="2" borderId="2" xfId="0" applyFont="1" applyFill="1" applyBorder="1" applyAlignment="1">
      <alignment horizontal="center" vertical="top" wrapText="1"/>
    </xf>
    <xf numFmtId="0" fontId="4" fillId="2" borderId="2" xfId="0" applyFont="1" applyFill="1" applyBorder="1" applyAlignment="1">
      <alignment horizontal="left" vertical="top" wrapText="1"/>
    </xf>
    <xf numFmtId="0" fontId="18" fillId="5" borderId="2" xfId="0" applyFont="1" applyFill="1" applyBorder="1" applyAlignment="1">
      <alignment horizontal="center" vertical="top" wrapText="1"/>
    </xf>
    <xf numFmtId="0" fontId="18" fillId="5" borderId="2" xfId="0" applyFont="1" applyFill="1" applyBorder="1" applyAlignment="1">
      <alignment horizontal="left" vertical="top" wrapText="1"/>
    </xf>
    <xf numFmtId="0" fontId="6" fillId="0" borderId="0" xfId="0" applyFont="1" applyAlignment="1">
      <alignment vertical="top" wrapText="1"/>
    </xf>
    <xf numFmtId="0" fontId="6" fillId="0" borderId="3" xfId="0" applyFont="1" applyBorder="1" applyAlignment="1">
      <alignment vertical="center" wrapText="1"/>
    </xf>
    <xf numFmtId="0" fontId="5" fillId="0" borderId="3" xfId="0" applyFont="1" applyBorder="1" applyAlignment="1">
      <alignment vertical="center" wrapText="1"/>
    </xf>
    <xf numFmtId="0" fontId="5" fillId="4" borderId="3" xfId="0" applyFont="1" applyFill="1" applyBorder="1" applyAlignment="1">
      <alignment horizontal="center" vertical="center" wrapText="1"/>
    </xf>
    <xf numFmtId="0" fontId="5" fillId="4" borderId="3" xfId="0" applyFont="1" applyFill="1" applyBorder="1" applyAlignment="1">
      <alignment horizontal="left" vertical="center" wrapText="1"/>
    </xf>
    <xf numFmtId="0" fontId="6" fillId="0" borderId="0" xfId="0" applyFont="1" applyAlignment="1">
      <alignment vertical="center" wrapText="1"/>
    </xf>
    <xf numFmtId="0" fontId="6" fillId="0" borderId="3" xfId="0" applyFont="1" applyBorder="1" applyAlignment="1">
      <alignment horizontal="center" vertical="center" wrapText="1"/>
    </xf>
    <xf numFmtId="0" fontId="6" fillId="0" borderId="3" xfId="0" applyFont="1" applyBorder="1" applyAlignment="1">
      <alignment horizontal="left" vertical="center" wrapText="1"/>
    </xf>
    <xf numFmtId="0" fontId="6" fillId="6" borderId="3" xfId="0" applyFont="1" applyFill="1" applyBorder="1" applyAlignment="1">
      <alignment horizontal="center" vertical="center" wrapText="1"/>
    </xf>
    <xf numFmtId="0" fontId="6" fillId="6" borderId="3" xfId="0" applyFont="1" applyFill="1" applyBorder="1" applyAlignment="1">
      <alignment horizontal="left" vertical="center" wrapText="1"/>
    </xf>
    <xf numFmtId="0" fontId="6" fillId="10" borderId="3" xfId="0" applyFont="1" applyFill="1" applyBorder="1" applyAlignment="1">
      <alignment horizontal="center" vertical="center" wrapText="1"/>
    </xf>
    <xf numFmtId="0" fontId="6" fillId="10" borderId="3" xfId="0" applyFont="1" applyFill="1" applyBorder="1" applyAlignment="1">
      <alignment horizontal="left" vertical="center" wrapText="1"/>
    </xf>
    <xf numFmtId="0" fontId="4" fillId="0" borderId="3" xfId="0" applyFont="1" applyBorder="1" applyAlignment="1">
      <alignment vertical="center" wrapText="1"/>
    </xf>
    <xf numFmtId="0" fontId="12" fillId="0" borderId="3" xfId="0" applyFont="1" applyBorder="1" applyAlignment="1">
      <alignment vertical="center" wrapText="1"/>
    </xf>
    <xf numFmtId="0" fontId="4" fillId="2" borderId="3" xfId="0" applyFont="1" applyFill="1" applyBorder="1" applyAlignment="1">
      <alignment vertical="center" wrapText="1"/>
    </xf>
    <xf numFmtId="0" fontId="5" fillId="3" borderId="3" xfId="0" applyFont="1" applyFill="1" applyBorder="1" applyAlignment="1">
      <alignment vertical="center" wrapText="1"/>
    </xf>
    <xf numFmtId="0" fontId="4" fillId="2" borderId="3"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6" fillId="3" borderId="3" xfId="0" applyFont="1" applyFill="1" applyBorder="1" applyAlignment="1">
      <alignment horizontal="center" wrapText="1"/>
    </xf>
    <xf numFmtId="0" fontId="6" fillId="3" borderId="3" xfId="0" applyFont="1" applyFill="1" applyBorder="1" applyAlignment="1">
      <alignment horizontal="center" vertical="center" wrapText="1"/>
    </xf>
    <xf numFmtId="0" fontId="6" fillId="3" borderId="3" xfId="0" applyFont="1" applyFill="1" applyBorder="1" applyAlignment="1">
      <alignment horizontal="left" vertical="center" wrapText="1"/>
    </xf>
    <xf numFmtId="0" fontId="3" fillId="0" borderId="3" xfId="0" applyFont="1" applyBorder="1" applyAlignment="1">
      <alignment vertical="center" wrapText="1"/>
    </xf>
    <xf numFmtId="0" fontId="6" fillId="0" borderId="0" xfId="0" applyFont="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wrapText="1"/>
    </xf>
    <xf numFmtId="0" fontId="8" fillId="0" borderId="3" xfId="0" applyFont="1" applyBorder="1" applyAlignment="1">
      <alignment vertical="center" wrapText="1"/>
    </xf>
    <xf numFmtId="0" fontId="13" fillId="0" borderId="3" xfId="0" applyFont="1" applyBorder="1" applyAlignment="1">
      <alignment horizontal="left" vertical="center" wrapText="1"/>
    </xf>
    <xf numFmtId="0" fontId="8" fillId="0" borderId="3" xfId="0" applyFont="1" applyBorder="1" applyAlignment="1">
      <alignment horizontal="left" vertical="center" wrapText="1"/>
    </xf>
    <xf numFmtId="0" fontId="3" fillId="0" borderId="3" xfId="0" applyFont="1" applyBorder="1" applyAlignment="1">
      <alignment wrapText="1"/>
    </xf>
    <xf numFmtId="0" fontId="6" fillId="0" borderId="3" xfId="0" applyFont="1" applyBorder="1" applyAlignment="1">
      <alignment wrapText="1"/>
    </xf>
    <xf numFmtId="0" fontId="6" fillId="0" borderId="0" xfId="0" applyFont="1" applyAlignment="1">
      <alignment horizontal="center" wrapText="1"/>
    </xf>
    <xf numFmtId="0" fontId="7" fillId="10" borderId="3" xfId="0" applyFont="1" applyFill="1" applyBorder="1" applyAlignment="1">
      <alignment horizontal="left" vertical="center" wrapText="1"/>
    </xf>
    <xf numFmtId="0" fontId="7" fillId="6" borderId="3" xfId="0" applyFont="1" applyFill="1" applyBorder="1" applyAlignment="1">
      <alignment horizontal="left" vertical="center" wrapText="1"/>
    </xf>
    <xf numFmtId="0" fontId="7" fillId="0" borderId="3" xfId="0" applyFont="1" applyBorder="1" applyAlignment="1">
      <alignment horizontal="left" vertical="center" wrapText="1"/>
    </xf>
    <xf numFmtId="0" fontId="5" fillId="14" borderId="0" xfId="0" applyFont="1" applyFill="1" applyAlignment="1">
      <alignment horizontal="center" vertical="top" wrapText="1"/>
    </xf>
    <xf numFmtId="0" fontId="6" fillId="4" borderId="3" xfId="0" applyFont="1" applyFill="1" applyBorder="1" applyAlignment="1">
      <alignment horizontal="center" vertical="center" wrapText="1"/>
    </xf>
    <xf numFmtId="0" fontId="4" fillId="2" borderId="23" xfId="0" applyFont="1" applyFill="1" applyBorder="1" applyAlignment="1">
      <alignment vertical="center" wrapText="1"/>
    </xf>
    <xf numFmtId="0" fontId="5" fillId="3" borderId="23" xfId="0" applyFont="1" applyFill="1" applyBorder="1" applyAlignment="1">
      <alignment vertical="center" wrapText="1"/>
    </xf>
    <xf numFmtId="0" fontId="4" fillId="2" borderId="23" xfId="0" applyFont="1" applyFill="1" applyBorder="1" applyAlignment="1">
      <alignment horizontal="center" vertical="center" wrapText="1"/>
    </xf>
    <xf numFmtId="0" fontId="4" fillId="2" borderId="23" xfId="0" applyFont="1" applyFill="1" applyBorder="1" applyAlignment="1">
      <alignment horizontal="left" vertical="center" wrapText="1"/>
    </xf>
    <xf numFmtId="0" fontId="18" fillId="5" borderId="23" xfId="0" applyFont="1" applyFill="1" applyBorder="1" applyAlignment="1">
      <alignment horizontal="center" vertical="center" wrapText="1"/>
    </xf>
    <xf numFmtId="0" fontId="18" fillId="5" borderId="23" xfId="0" applyFont="1" applyFill="1" applyBorder="1" applyAlignment="1">
      <alignment horizontal="left" vertical="center" wrapText="1"/>
    </xf>
    <xf numFmtId="0" fontId="18" fillId="5" borderId="2" xfId="0" applyFont="1" applyFill="1" applyBorder="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5" fillId="14" borderId="0" xfId="0" applyFont="1" applyFill="1" applyAlignment="1">
      <alignment horizontal="center" vertical="center" wrapText="1"/>
    </xf>
    <xf numFmtId="0" fontId="19" fillId="0" borderId="3" xfId="0" applyFont="1" applyBorder="1" applyAlignment="1">
      <alignment horizontal="center" vertical="center" wrapText="1"/>
    </xf>
    <xf numFmtId="0" fontId="20" fillId="0" borderId="3" xfId="0" applyFont="1" applyBorder="1" applyAlignment="1">
      <alignment vertical="center" wrapText="1"/>
    </xf>
    <xf numFmtId="0" fontId="5" fillId="3" borderId="3" xfId="0" applyFont="1" applyFill="1" applyBorder="1" applyAlignment="1">
      <alignment vertical="top" wrapText="1"/>
    </xf>
    <xf numFmtId="0" fontId="7" fillId="6" borderId="3" xfId="0" applyFont="1" applyFill="1" applyBorder="1" applyAlignment="1">
      <alignment horizontal="center" vertical="center" wrapText="1"/>
    </xf>
    <xf numFmtId="0" fontId="7" fillId="10" borderId="3" xfId="0" applyFont="1" applyFill="1" applyBorder="1" applyAlignment="1">
      <alignment horizontal="center" vertical="center" wrapText="1"/>
    </xf>
    <xf numFmtId="0" fontId="18" fillId="5" borderId="3" xfId="0" applyFont="1" applyFill="1" applyBorder="1" applyAlignment="1">
      <alignment horizontal="center" vertical="center" wrapText="1"/>
    </xf>
    <xf numFmtId="0" fontId="18" fillId="5" borderId="3" xfId="0" applyFont="1" applyFill="1" applyBorder="1" applyAlignment="1">
      <alignment horizontal="left" vertical="center" wrapText="1"/>
    </xf>
    <xf numFmtId="0" fontId="5" fillId="9" borderId="3" xfId="0" applyFont="1" applyFill="1" applyBorder="1" applyAlignment="1">
      <alignment horizontal="center" vertical="center" wrapText="1"/>
    </xf>
    <xf numFmtId="0" fontId="5" fillId="9" borderId="3" xfId="0" applyFont="1" applyFill="1" applyBorder="1" applyAlignment="1">
      <alignment horizontal="left" vertical="center" wrapText="1"/>
    </xf>
    <xf numFmtId="0" fontId="6" fillId="5" borderId="3" xfId="0" applyFont="1" applyFill="1" applyBorder="1" applyAlignment="1">
      <alignment vertical="center" wrapText="1"/>
    </xf>
    <xf numFmtId="0" fontId="19" fillId="5" borderId="3" xfId="0" applyFont="1" applyFill="1" applyBorder="1" applyAlignment="1">
      <alignment vertical="center" wrapText="1"/>
    </xf>
    <xf numFmtId="0" fontId="6" fillId="5" borderId="3" xfId="0" applyFont="1" applyFill="1" applyBorder="1" applyAlignment="1">
      <alignment horizontal="center" vertical="center" wrapText="1"/>
    </xf>
    <xf numFmtId="0" fontId="19" fillId="0" borderId="0" xfId="0" applyFont="1" applyAlignment="1">
      <alignment horizontal="center" vertical="center" wrapText="1"/>
    </xf>
    <xf numFmtId="0" fontId="7" fillId="0" borderId="3" xfId="0" applyFont="1" applyBorder="1" applyAlignment="1">
      <alignment horizontal="center" vertical="center" wrapText="1"/>
    </xf>
    <xf numFmtId="0" fontId="6" fillId="0" borderId="3" xfId="0" applyFont="1" applyBorder="1" applyAlignment="1">
      <alignment horizontal="center" vertical="center" wrapText="1"/>
    </xf>
    <xf numFmtId="0" fontId="6" fillId="0" borderId="3" xfId="0" applyFont="1" applyBorder="1" applyAlignment="1">
      <alignment vertical="center" wrapText="1"/>
    </xf>
    <xf numFmtId="0" fontId="3" fillId="0" borderId="3" xfId="0" applyFont="1" applyBorder="1" applyAlignment="1">
      <alignment vertical="center" wrapText="1"/>
    </xf>
    <xf numFmtId="0" fontId="6" fillId="0" borderId="3" xfId="0" applyFont="1" applyBorder="1" applyAlignment="1">
      <alignment horizontal="center" vertical="center"/>
    </xf>
    <xf numFmtId="0" fontId="6" fillId="0" borderId="3" xfId="0" applyFont="1" applyBorder="1" applyAlignment="1">
      <alignment vertical="center"/>
    </xf>
    <xf numFmtId="0" fontId="3" fillId="0" borderId="3" xfId="0" applyFont="1" applyBorder="1" applyAlignment="1">
      <alignment horizontal="center" vertical="center"/>
    </xf>
    <xf numFmtId="0" fontId="6" fillId="0" borderId="3" xfId="0" applyFont="1" applyBorder="1" applyAlignment="1">
      <alignment horizontal="left" vertical="center"/>
    </xf>
    <xf numFmtId="0" fontId="3" fillId="15" borderId="3" xfId="0" applyFont="1" applyFill="1" applyBorder="1" applyAlignment="1">
      <alignment vertical="center" wrapText="1"/>
    </xf>
    <xf numFmtId="0" fontId="3" fillId="16" borderId="3" xfId="0" applyFont="1" applyFill="1" applyBorder="1" applyAlignment="1">
      <alignment vertical="center" wrapText="1"/>
    </xf>
  </cellXfs>
  <cellStyles count="1">
    <cellStyle name="Normal" xfId="0" builtinId="0"/>
  </cellStyles>
  <dxfs count="39">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DB65E-090C-4AE9-BFF1-D9A5367835C9}">
  <dimension ref="A1:W37"/>
  <sheetViews>
    <sheetView showGridLines="0" zoomScale="115" zoomScaleNormal="115" workbookViewId="0">
      <pane ySplit="2" topLeftCell="A26" activePane="bottomLeft" state="frozen"/>
      <selection pane="bottomLeft" activeCell="D11" sqref="D11"/>
    </sheetView>
  </sheetViews>
  <sheetFormatPr defaultColWidth="8.88671875" defaultRowHeight="13.8" x14ac:dyDescent="0.25"/>
  <cols>
    <col min="1" max="1" width="5.88671875" style="4" customWidth="1"/>
    <col min="2" max="2" width="24.33203125" style="4" bestFit="1" customWidth="1"/>
    <col min="3" max="9" width="8.6640625" style="9" customWidth="1"/>
    <col min="10" max="21" width="8.6640625" style="4" customWidth="1"/>
    <col min="22" max="16384" width="8.88671875" style="4"/>
  </cols>
  <sheetData>
    <row r="1" spans="1:9" ht="14.4" thickBot="1" x14ac:dyDescent="0.3">
      <c r="A1" s="107" t="s">
        <v>0</v>
      </c>
      <c r="B1" s="108"/>
      <c r="C1" s="109" t="s">
        <v>1</v>
      </c>
      <c r="D1" s="109" t="s">
        <v>2</v>
      </c>
      <c r="E1" s="109"/>
      <c r="F1" s="109" t="s">
        <v>1</v>
      </c>
      <c r="G1" s="109" t="s">
        <v>2</v>
      </c>
      <c r="H1" s="109"/>
      <c r="I1" s="109"/>
    </row>
    <row r="2" spans="1:9" s="10" customFormat="1" x14ac:dyDescent="0.3">
      <c r="A2" s="138" t="s">
        <v>3</v>
      </c>
      <c r="B2" s="139" t="s">
        <v>4</v>
      </c>
      <c r="C2" s="138" t="s">
        <v>5</v>
      </c>
      <c r="D2" s="140" t="s">
        <v>6</v>
      </c>
      <c r="E2" s="141" t="s">
        <v>7</v>
      </c>
      <c r="F2" s="142" t="s">
        <v>5</v>
      </c>
      <c r="G2" s="145" t="s">
        <v>6</v>
      </c>
      <c r="H2" s="143" t="s">
        <v>7</v>
      </c>
      <c r="I2" s="144" t="s">
        <v>8</v>
      </c>
    </row>
    <row r="3" spans="1:9" x14ac:dyDescent="0.25">
      <c r="A3" s="81" t="s">
        <v>9</v>
      </c>
      <c r="B3" s="82" t="s">
        <v>10</v>
      </c>
      <c r="C3" s="81">
        <f>COUNTIFS('2a. Administration'!$I:$I,Summary!$A3,'2a. Administration'!$E:$E,Summary!C1)</f>
        <v>68</v>
      </c>
      <c r="D3" s="52">
        <f>COUNTIFS('2a. Administration'!$I:$I,Summary!$A3,'2a. Administration'!$E:$E,Summary!D1)</f>
        <v>19</v>
      </c>
      <c r="E3" s="88">
        <f>SUM(C3:D3)</f>
        <v>87</v>
      </c>
      <c r="F3" s="86">
        <f>COUNTIFS('2a. Administration'!$I:$I,Summary!$A3,'2a. Administration'!$G:$G,Summary!F1)</f>
        <v>49</v>
      </c>
      <c r="G3" s="52">
        <f>COUNTIFS('2a. Administration'!$I:$I,Summary!$A3,'2a. Administration'!$G:$G,Summary!G1)</f>
        <v>8</v>
      </c>
      <c r="H3" s="88">
        <f t="shared" ref="H3:H16" si="0">SUM(F3:G3)</f>
        <v>57</v>
      </c>
      <c r="I3" s="103">
        <f>H3-E3</f>
        <v>-30</v>
      </c>
    </row>
    <row r="4" spans="1:9" x14ac:dyDescent="0.25">
      <c r="A4" s="81" t="s">
        <v>11</v>
      </c>
      <c r="B4" s="82" t="s">
        <v>12</v>
      </c>
      <c r="C4" s="81">
        <f>COUNTIFS('2b. Planning'!$I:$I,Summary!$A4,'2b. Planning'!$E:$E,Summary!C1)</f>
        <v>155</v>
      </c>
      <c r="D4" s="52">
        <f>COUNTIFS('2b. Planning'!$I:$I,Summary!$A4,'2b. Planning'!$E:$E,Summary!D1)</f>
        <v>97</v>
      </c>
      <c r="E4" s="88">
        <f t="shared" ref="E4:E16" si="1">SUM(C4:D4)</f>
        <v>252</v>
      </c>
      <c r="F4" s="86">
        <f>COUNTIFS('2b. Planning'!$I:$I,Summary!$A4,'2b. Planning'!$G:$G,Summary!F1)</f>
        <v>118</v>
      </c>
      <c r="G4" s="52">
        <f>COUNTIFS('2b. Planning'!$I:$I,Summary!$A4,'2b. Planning'!$G:$G,Summary!G1)</f>
        <v>44</v>
      </c>
      <c r="H4" s="88">
        <f t="shared" si="0"/>
        <v>162</v>
      </c>
      <c r="I4" s="103">
        <f t="shared" ref="I4:I7" si="2">H4-E4</f>
        <v>-90</v>
      </c>
    </row>
    <row r="5" spans="1:9" x14ac:dyDescent="0.25">
      <c r="A5" s="81" t="s">
        <v>13</v>
      </c>
      <c r="B5" s="82" t="s">
        <v>14</v>
      </c>
      <c r="C5" s="81">
        <f>COUNTIFS('2c. Delivery'!$I:$I,Summary!$A5,'2c. Delivery'!$E:$E,Summary!C1)</f>
        <v>27</v>
      </c>
      <c r="D5" s="52">
        <f>COUNTIFS('2c. Delivery'!$I:$I,Summary!$A5,'2c. Delivery'!$E:$E,Summary!D1)</f>
        <v>74</v>
      </c>
      <c r="E5" s="88">
        <f t="shared" si="1"/>
        <v>101</v>
      </c>
      <c r="F5" s="86">
        <f>COUNTIFS('2c. Delivery'!$I:$I,Summary!$A5,'2c. Delivery'!$G:$G,Summary!F1)</f>
        <v>21</v>
      </c>
      <c r="G5" s="52">
        <f>COUNTIFS('2c. Delivery'!$I:$I,Summary!$A5,'2c. Delivery'!$G:$G,Summary!G1)</f>
        <v>38</v>
      </c>
      <c r="H5" s="88">
        <f t="shared" si="0"/>
        <v>59</v>
      </c>
      <c r="I5" s="103">
        <f t="shared" si="2"/>
        <v>-42</v>
      </c>
    </row>
    <row r="6" spans="1:9" x14ac:dyDescent="0.25">
      <c r="A6" s="81" t="s">
        <v>15</v>
      </c>
      <c r="B6" s="82" t="s">
        <v>16</v>
      </c>
      <c r="C6" s="81">
        <f>COUNTIFS('2d. Reconciliation'!$I:$I,Summary!$A6,'2d. Reconciliation'!$E:$E,Summary!C1)</f>
        <v>17</v>
      </c>
      <c r="D6" s="52">
        <f>COUNTIFS('2d. Reconciliation'!$I:$I,Summary!$A6,'2d. Reconciliation'!$E:$E,Summary!D1)</f>
        <v>13</v>
      </c>
      <c r="E6" s="88">
        <f t="shared" si="1"/>
        <v>30</v>
      </c>
      <c r="F6" s="86">
        <f>COUNTIFS('2d. Reconciliation'!$I:$I,Summary!$A6,'2d. Reconciliation'!$G:$G,Summary!F1)</f>
        <v>12</v>
      </c>
      <c r="G6" s="52">
        <f>COUNTIFS('2d. Reconciliation'!$I:$I,Summary!$A6,'2d. Reconciliation'!$G:$G,Summary!G1)</f>
        <v>7</v>
      </c>
      <c r="H6" s="88">
        <f t="shared" si="0"/>
        <v>19</v>
      </c>
      <c r="I6" s="103">
        <f t="shared" si="2"/>
        <v>-11</v>
      </c>
    </row>
    <row r="7" spans="1:9" x14ac:dyDescent="0.25">
      <c r="A7" s="81" t="s">
        <v>17</v>
      </c>
      <c r="B7" s="82" t="s">
        <v>18</v>
      </c>
      <c r="C7" s="81">
        <f>COUNTIFS('2e. Reporting'!$I:$I,Summary!$A7,'2e. Reporting'!$E:$E,Summary!C1)</f>
        <v>49</v>
      </c>
      <c r="D7" s="52">
        <f>COUNTIFS('2e. Reporting'!$I:$I,Summary!$A7,'2e. Reporting'!$E:$E,Summary!D1)</f>
        <v>25</v>
      </c>
      <c r="E7" s="88">
        <f t="shared" si="1"/>
        <v>74</v>
      </c>
      <c r="F7" s="86">
        <f>COUNTIFS('2e. Reporting'!$I:$I,Summary!$A7,'2e. Reporting'!$G:$G,Summary!F1)</f>
        <v>49</v>
      </c>
      <c r="G7" s="52">
        <f>COUNTIFS('2e. Reporting'!$I:$I,Summary!$A7,'2e. Reporting'!$G:$G,Summary!G1)</f>
        <v>19</v>
      </c>
      <c r="H7" s="88">
        <f t="shared" si="0"/>
        <v>68</v>
      </c>
      <c r="I7" s="103">
        <f t="shared" si="2"/>
        <v>-6</v>
      </c>
    </row>
    <row r="8" spans="1:9" x14ac:dyDescent="0.25">
      <c r="A8" s="89"/>
      <c r="B8" s="85"/>
      <c r="C8" s="89"/>
      <c r="D8" s="83"/>
      <c r="E8" s="90"/>
      <c r="F8" s="87"/>
      <c r="G8" s="83"/>
      <c r="H8" s="90"/>
      <c r="I8" s="104"/>
    </row>
    <row r="9" spans="1:9" x14ac:dyDescent="0.25">
      <c r="A9" s="81" t="s">
        <v>19</v>
      </c>
      <c r="B9" s="82" t="s">
        <v>20</v>
      </c>
      <c r="C9" s="81">
        <f>COUNTIFS('3a. Security'!$I:$I,Summary!$A9,'3a. Security'!$E:$E,Summary!C1)</f>
        <v>6</v>
      </c>
      <c r="D9" s="52">
        <f>COUNTIFS('3a. Security'!$I:$I,Summary!$A9,'3a. Security'!$E:$E,Summary!D1)</f>
        <v>0</v>
      </c>
      <c r="E9" s="88">
        <f t="shared" si="1"/>
        <v>6</v>
      </c>
      <c r="F9" s="86">
        <f>COUNTIFS('3a. Security'!$I:$I,Summary!$A9,'3a. Security'!$G:$G,Summary!F1)</f>
        <v>6</v>
      </c>
      <c r="G9" s="52">
        <f>COUNTIFS('3a. Security'!$I:$I,Summary!$A9,'3a. Security'!$G:$G,Summary!G1)</f>
        <v>0</v>
      </c>
      <c r="H9" s="88">
        <f t="shared" si="0"/>
        <v>6</v>
      </c>
      <c r="I9" s="103">
        <f t="shared" ref="I9:I16" si="3">H9-E9</f>
        <v>0</v>
      </c>
    </row>
    <row r="10" spans="1:9" x14ac:dyDescent="0.25">
      <c r="A10" s="81" t="s">
        <v>21</v>
      </c>
      <c r="B10" s="82" t="s">
        <v>22</v>
      </c>
      <c r="C10" s="81">
        <f>COUNTIFS('3b. User Interface and User Exp'!$I:$I,Summary!$A10,'3b. User Interface and User Exp'!$E:$E,Summary!C1)</f>
        <v>2</v>
      </c>
      <c r="D10" s="52">
        <f>COUNTIFS('3b. User Interface and User Exp'!$I:$I,Summary!$A10,'3b. User Interface and User Exp'!$E:$E,Summary!D1)</f>
        <v>5</v>
      </c>
      <c r="E10" s="88">
        <f t="shared" si="1"/>
        <v>7</v>
      </c>
      <c r="F10" s="86">
        <f>COUNTIFS('3b. User Interface and User Exp'!$I:$I,Summary!$A10,'3b. User Interface and User Exp'!$G:$G,Summary!F1)</f>
        <v>2</v>
      </c>
      <c r="G10" s="52">
        <f>COUNTIFS('3b. User Interface and User Exp'!$I:$I,Summary!$A10,'3b. User Interface and User Exp'!$G:$G,Summary!G1)</f>
        <v>5</v>
      </c>
      <c r="H10" s="88">
        <f t="shared" si="0"/>
        <v>7</v>
      </c>
      <c r="I10" s="103">
        <f t="shared" si="3"/>
        <v>0</v>
      </c>
    </row>
    <row r="11" spans="1:9" x14ac:dyDescent="0.25">
      <c r="A11" s="81" t="s">
        <v>23</v>
      </c>
      <c r="B11" s="82" t="s">
        <v>24</v>
      </c>
      <c r="C11" s="81">
        <f>COUNTIFS('3c. Performance-Scalability'!$I:$I,Summary!$A11,'3c. Performance-Scalability'!$E:$E,Summary!C1)</f>
        <v>0</v>
      </c>
      <c r="D11" s="52">
        <f>COUNTIFS('3c. Performance-Scalability'!$I:$I,Summary!$A11,'3c. Performance-Scalability'!$E:$E,Summary!D1)</f>
        <v>6</v>
      </c>
      <c r="E11" s="88">
        <f t="shared" si="1"/>
        <v>6</v>
      </c>
      <c r="F11" s="86">
        <f>COUNTIFS('3c. Performance-Scalability'!$I:$I,Summary!$A11,'3c. Performance-Scalability'!$G:$G,Summary!F1)</f>
        <v>0</v>
      </c>
      <c r="G11" s="52">
        <f>COUNTIFS('3c. Performance-Scalability'!$I:$I,Summary!$A11,'3c. Performance-Scalability'!$G:$G,Summary!G1)</f>
        <v>6</v>
      </c>
      <c r="H11" s="88">
        <f t="shared" si="0"/>
        <v>6</v>
      </c>
      <c r="I11" s="103">
        <f t="shared" si="3"/>
        <v>0</v>
      </c>
    </row>
    <row r="12" spans="1:9" x14ac:dyDescent="0.25">
      <c r="A12" s="81" t="s">
        <v>25</v>
      </c>
      <c r="B12" s="82" t="s">
        <v>26</v>
      </c>
      <c r="C12" s="81">
        <f>COUNTIFS('3d. Support-Maintenance'!$I:$I,Summary!$A12,'3d. Support-Maintenance'!$E:$E,Summary!C1)</f>
        <v>5</v>
      </c>
      <c r="D12" s="52">
        <f>COUNTIFS('3d. Support-Maintenance'!$I:$I,Summary!$A12,'3d. Support-Maintenance'!$E:$E,Summary!D1)</f>
        <v>2</v>
      </c>
      <c r="E12" s="88">
        <f t="shared" si="1"/>
        <v>7</v>
      </c>
      <c r="F12" s="86">
        <f>COUNTIFS('3d. Support-Maintenance'!$I:$I,Summary!$A12,'3d. Support-Maintenance'!$G:$G,Summary!F1)</f>
        <v>5</v>
      </c>
      <c r="G12" s="52">
        <f>COUNTIFS('3d. Support-Maintenance'!$I:$I,Summary!$A12,'3d. Support-Maintenance'!$G:$G,Summary!G1)</f>
        <v>2</v>
      </c>
      <c r="H12" s="88">
        <f t="shared" si="0"/>
        <v>7</v>
      </c>
      <c r="I12" s="103">
        <f t="shared" si="3"/>
        <v>0</v>
      </c>
    </row>
    <row r="13" spans="1:9" x14ac:dyDescent="0.25">
      <c r="A13" s="81" t="s">
        <v>27</v>
      </c>
      <c r="B13" s="82" t="s">
        <v>28</v>
      </c>
      <c r="C13" s="81">
        <f>COUNTIFS('3e. Reliability-Availability'!$I:$I,Summary!$A13,'3e. Reliability-Availability'!$E:$E,Summary!C1)</f>
        <v>4</v>
      </c>
      <c r="D13" s="52">
        <f>COUNTIFS('3e. Reliability-Availability'!$I:$I,Summary!$A13,'3e. Reliability-Availability'!$E:$E,Summary!D1)</f>
        <v>4</v>
      </c>
      <c r="E13" s="88">
        <f t="shared" si="1"/>
        <v>8</v>
      </c>
      <c r="F13" s="86">
        <f>COUNTIFS('3e. Reliability-Availability'!$I:$I,Summary!$A13,'3e. Reliability-Availability'!$G:$G,Summary!F1)</f>
        <v>4</v>
      </c>
      <c r="G13" s="52">
        <f>COUNTIFS('3e. Reliability-Availability'!$I:$I,Summary!$A13,'3e. Reliability-Availability'!$G:$G,Summary!G1)</f>
        <v>4</v>
      </c>
      <c r="H13" s="88">
        <f t="shared" si="0"/>
        <v>8</v>
      </c>
      <c r="I13" s="103">
        <f t="shared" si="3"/>
        <v>0</v>
      </c>
    </row>
    <row r="14" spans="1:9" x14ac:dyDescent="0.25">
      <c r="A14" s="81" t="s">
        <v>29</v>
      </c>
      <c r="B14" s="82" t="s">
        <v>30</v>
      </c>
      <c r="C14" s="81">
        <f>COUNTIFS('3f. Integration'!$I:$I,Summary!$A14,'3f. Integration'!$E:$E,Summary!C1)</f>
        <v>12</v>
      </c>
      <c r="D14" s="52">
        <f>COUNTIFS('3f. Integration'!$I:$I,Summary!$A14,'3f. Integration'!$E:$E,Summary!D1)</f>
        <v>5</v>
      </c>
      <c r="E14" s="88">
        <f t="shared" si="1"/>
        <v>17</v>
      </c>
      <c r="F14" s="86">
        <f>COUNTIFS('3f. Integration'!$I:$I,Summary!$A14,'3f. Integration'!$G:$G,Summary!F1)</f>
        <v>12</v>
      </c>
      <c r="G14" s="52">
        <f>COUNTIFS('3f. Integration'!$I:$I,Summary!$A14,'3f. Integration'!$G:$G,Summary!G1)</f>
        <v>4</v>
      </c>
      <c r="H14" s="88">
        <f t="shared" si="0"/>
        <v>16</v>
      </c>
      <c r="I14" s="103">
        <f t="shared" si="3"/>
        <v>-1</v>
      </c>
    </row>
    <row r="15" spans="1:9" x14ac:dyDescent="0.25">
      <c r="A15" s="81" t="s">
        <v>31</v>
      </c>
      <c r="B15" s="82" t="s">
        <v>32</v>
      </c>
      <c r="C15" s="81">
        <f>COUNTIFS('3g. Configurability'!$I:$I,Summary!$A15,'3g. Configurability'!$E:$E,Summary!C1)</f>
        <v>3</v>
      </c>
      <c r="D15" s="52">
        <f>COUNTIFS('3g. Configurability'!$I:$I,Summary!$A15,'3g. Configurability'!$E:$E,Summary!D1)</f>
        <v>1</v>
      </c>
      <c r="E15" s="88">
        <f t="shared" si="1"/>
        <v>4</v>
      </c>
      <c r="F15" s="86">
        <f>COUNTIFS('3g. Configurability'!$I:$I,Summary!$A15,'3g. Configurability'!$G:$G,Summary!F1)</f>
        <v>3</v>
      </c>
      <c r="G15" s="52">
        <f>COUNTIFS('3g. Configurability'!$I:$I,Summary!$A15,'3g. Configurability'!$G:$G,Summary!G1)</f>
        <v>1</v>
      </c>
      <c r="H15" s="88">
        <f t="shared" si="0"/>
        <v>4</v>
      </c>
      <c r="I15" s="103">
        <f t="shared" si="3"/>
        <v>0</v>
      </c>
    </row>
    <row r="16" spans="1:9" ht="14.4" thickBot="1" x14ac:dyDescent="0.3">
      <c r="A16" s="81" t="s">
        <v>33</v>
      </c>
      <c r="B16" s="82" t="s">
        <v>34</v>
      </c>
      <c r="C16" s="96">
        <f>COUNTIFS('3h. Compliance'!$I:$I,Summary!$A16,'3h. Compliance'!$E:$E,Summary!C1)</f>
        <v>4</v>
      </c>
      <c r="D16" s="97">
        <f>COUNTIFS('3h. Compliance'!$I:$I,Summary!$A16,'3h. Compliance'!$E:$E,Summary!D1)</f>
        <v>3</v>
      </c>
      <c r="E16" s="98">
        <f t="shared" si="1"/>
        <v>7</v>
      </c>
      <c r="F16" s="99">
        <f>COUNTIFS('3h. Compliance'!$I:$I,Summary!$A16,'3h. Compliance'!$G:$G,Summary!F1)</f>
        <v>4</v>
      </c>
      <c r="G16" s="97">
        <f>COUNTIFS('3h. Compliance'!$I:$I,Summary!$A16,'3h. Compliance'!$G:$G,Summary!G1)</f>
        <v>3</v>
      </c>
      <c r="H16" s="98">
        <f t="shared" si="0"/>
        <v>7</v>
      </c>
      <c r="I16" s="105">
        <f t="shared" si="3"/>
        <v>0</v>
      </c>
    </row>
    <row r="17" spans="1:23" ht="15" thickTop="1" thickBot="1" x14ac:dyDescent="0.3">
      <c r="A17" s="94"/>
      <c r="B17" s="95" t="s">
        <v>7</v>
      </c>
      <c r="C17" s="91">
        <f t="shared" ref="C17:D17" si="4">SUM(C3:C16)</f>
        <v>352</v>
      </c>
      <c r="D17" s="102">
        <f t="shared" si="4"/>
        <v>254</v>
      </c>
      <c r="E17" s="93">
        <f>SUM(E3:E16)</f>
        <v>606</v>
      </c>
      <c r="F17" s="92">
        <f t="shared" ref="F17:I17" si="5">SUM(F3:F16)</f>
        <v>285</v>
      </c>
      <c r="G17" s="102">
        <f t="shared" si="5"/>
        <v>141</v>
      </c>
      <c r="H17" s="93">
        <f t="shared" si="5"/>
        <v>426</v>
      </c>
      <c r="I17" s="106">
        <f t="shared" si="5"/>
        <v>-180</v>
      </c>
    </row>
    <row r="19" spans="1:23" ht="14.4" thickBot="1" x14ac:dyDescent="0.3">
      <c r="A19" s="9"/>
      <c r="B19" s="9"/>
      <c r="C19" s="9" t="s">
        <v>35</v>
      </c>
      <c r="D19" s="9" t="s">
        <v>36</v>
      </c>
      <c r="E19" s="9" t="s">
        <v>37</v>
      </c>
      <c r="F19" s="9" t="s">
        <v>35</v>
      </c>
      <c r="G19" s="9" t="s">
        <v>36</v>
      </c>
      <c r="H19" s="9" t="s">
        <v>37</v>
      </c>
      <c r="I19" s="9" t="s">
        <v>35</v>
      </c>
      <c r="J19" s="9" t="s">
        <v>36</v>
      </c>
      <c r="K19" s="9" t="s">
        <v>37</v>
      </c>
      <c r="L19" s="9" t="s">
        <v>35</v>
      </c>
      <c r="M19" s="9" t="s">
        <v>36</v>
      </c>
      <c r="N19" s="9" t="s">
        <v>37</v>
      </c>
      <c r="O19" s="9" t="s">
        <v>35</v>
      </c>
      <c r="P19" s="9" t="s">
        <v>36</v>
      </c>
      <c r="Q19" s="9" t="s">
        <v>37</v>
      </c>
      <c r="R19" s="9" t="s">
        <v>35</v>
      </c>
      <c r="S19" s="9" t="s">
        <v>36</v>
      </c>
      <c r="T19" s="9" t="s">
        <v>37</v>
      </c>
      <c r="U19" s="9" t="s">
        <v>35</v>
      </c>
      <c r="V19" s="9" t="s">
        <v>36</v>
      </c>
      <c r="W19" s="9" t="s">
        <v>37</v>
      </c>
    </row>
    <row r="20" spans="1:23" s="10" customFormat="1" x14ac:dyDescent="0.3">
      <c r="A20" s="146" t="s">
        <v>3</v>
      </c>
      <c r="B20" s="147" t="s">
        <v>4</v>
      </c>
      <c r="C20" s="150" t="s">
        <v>5</v>
      </c>
      <c r="D20" s="151"/>
      <c r="E20" s="152"/>
      <c r="F20" s="155" t="s">
        <v>6</v>
      </c>
      <c r="G20" s="151"/>
      <c r="H20" s="152"/>
      <c r="I20" s="150" t="s">
        <v>7</v>
      </c>
      <c r="J20" s="151"/>
      <c r="K20" s="152"/>
      <c r="L20" s="158" t="s">
        <v>5</v>
      </c>
      <c r="M20" s="161"/>
      <c r="N20" s="162"/>
      <c r="O20" s="159" t="s">
        <v>6</v>
      </c>
      <c r="P20" s="161"/>
      <c r="Q20" s="162"/>
      <c r="R20" s="158" t="s">
        <v>7</v>
      </c>
      <c r="S20" s="161"/>
      <c r="T20" s="162"/>
      <c r="U20" s="160" t="s">
        <v>8</v>
      </c>
      <c r="V20" s="163"/>
      <c r="W20" s="163"/>
    </row>
    <row r="21" spans="1:23" x14ac:dyDescent="0.25">
      <c r="A21" s="52" t="s">
        <v>9</v>
      </c>
      <c r="B21" s="82" t="s">
        <v>10</v>
      </c>
      <c r="C21" s="81">
        <f>COUNTIFS('2a. Administration'!$I:$I,Summary!$A21,'2a. Administration'!$C:$C,Summary!C$19,'2a. Administration'!$E:$E,Summary!$C$1)</f>
        <v>68</v>
      </c>
      <c r="D21" s="52">
        <f>COUNTIFS('2a. Administration'!$I:$I,Summary!$A21,'2a. Administration'!$C:$C,Summary!D$19,'2a. Administration'!$E:$E,Summary!$C$1)</f>
        <v>0</v>
      </c>
      <c r="E21" s="88">
        <f>COUNTIFS('2a. Administration'!$I:$I,Summary!$A21,'2a. Administration'!$C:$C,Summary!E$19,'2a. Administration'!$E:$E,Summary!$C$1)</f>
        <v>0</v>
      </c>
      <c r="F21" s="81">
        <f>COUNTIFS('2a. Administration'!$I:$I,Summary!$A21,'2a. Administration'!$C:$C,Summary!F$19,'2a. Administration'!$E:$E,Summary!$D$1)</f>
        <v>16</v>
      </c>
      <c r="G21" s="52">
        <f>COUNTIFS('2a. Administration'!$I:$I,Summary!$A21,'2a. Administration'!$C:$C,Summary!G$19,'2a. Administration'!$E:$E,Summary!$D$1)</f>
        <v>0</v>
      </c>
      <c r="H21" s="88">
        <f>COUNTIFS('2a. Administration'!$I:$I,Summary!$A21,'2a. Administration'!$C:$C,Summary!H$19,'2a. Administration'!$E:$E,Summary!$D$1)</f>
        <v>3</v>
      </c>
      <c r="I21" s="81">
        <f>C21+F21</f>
        <v>84</v>
      </c>
      <c r="J21" s="52">
        <f>D21+G21</f>
        <v>0</v>
      </c>
      <c r="K21" s="88">
        <f>H21+E21</f>
        <v>3</v>
      </c>
      <c r="L21" s="81">
        <f>COUNTIFS('2a. Administration'!$I:$I,Summary!$A21,'2a. Administration'!$J:$J,Summary!L$19,'2a. Administration'!$E:$E,Summary!$C$1)</f>
        <v>50</v>
      </c>
      <c r="M21" s="52">
        <f>COUNTIFS('2a. Administration'!$I:$I,Summary!$A21,'2a. Administration'!$J:$J,Summary!M$19,'2a. Administration'!$E:$E,Summary!$C$1)</f>
        <v>0</v>
      </c>
      <c r="N21" s="88">
        <f>COUNTIFS('2a. Administration'!$I:$I,Summary!$A21,'2a. Administration'!$J:$J,Summary!N$19,'2a. Administration'!$E:$E,Summary!$C$1)</f>
        <v>0</v>
      </c>
      <c r="O21" s="81">
        <f>COUNTIFS('2a. Administration'!$I:$I,Summary!$A21,'2a. Administration'!$J:$J,Summary!O$19,'2a. Administration'!$E:$E,Summary!$D$1)</f>
        <v>7</v>
      </c>
      <c r="P21" s="52">
        <f>COUNTIFS('2a. Administration'!$I:$I,Summary!$A21,'2a. Administration'!$J:$J,Summary!P$19,'2a. Administration'!$E:$E,Summary!$D$1)</f>
        <v>0</v>
      </c>
      <c r="Q21" s="88">
        <f>COUNTIFS('2a. Administration'!$I:$I,Summary!$A21,'2a. Administration'!$J:$J,Summary!Q$19,'2a. Administration'!$E:$E,Summary!$D$1)</f>
        <v>0</v>
      </c>
      <c r="R21" s="81">
        <f>L21+O21</f>
        <v>57</v>
      </c>
      <c r="S21" s="52">
        <f>M21+P21</f>
        <v>0</v>
      </c>
      <c r="T21" s="88">
        <f>Q21+N21</f>
        <v>0</v>
      </c>
      <c r="U21" s="86">
        <f>R21-I21</f>
        <v>-27</v>
      </c>
      <c r="V21" s="86">
        <f t="shared" ref="V21:V25" si="6">S21-J21</f>
        <v>0</v>
      </c>
      <c r="W21" s="86">
        <f t="shared" ref="W21:W25" si="7">T21-K21</f>
        <v>-3</v>
      </c>
    </row>
    <row r="22" spans="1:23" x14ac:dyDescent="0.25">
      <c r="A22" s="52" t="s">
        <v>11</v>
      </c>
      <c r="B22" s="82" t="s">
        <v>12</v>
      </c>
      <c r="C22" s="81">
        <f>COUNTIFS('2b. Planning'!$I:$I,Summary!$A22,'2b. Planning'!$C:$C,Summary!C$19,'2b. Planning'!$E:$E,Summary!$C$1)</f>
        <v>155</v>
      </c>
      <c r="D22" s="52">
        <f>COUNTIFS('2b. Planning'!$I:$I,Summary!$A22,'2b. Planning'!$C:$C,Summary!D$19,'2b. Planning'!$E:$E,Summary!$C$1)</f>
        <v>0</v>
      </c>
      <c r="E22" s="88">
        <f>COUNTIFS('2b. Planning'!$I:$I,Summary!$A22,'2b. Planning'!$C:$C,Summary!E$19,'2b. Planning'!$E:$E,Summary!$C$1)</f>
        <v>0</v>
      </c>
      <c r="F22" s="81">
        <f>COUNTIFS('2b. Planning'!$I:$I,Summary!$A22,'2b. Planning'!$C:$C,Summary!F$19,'2b. Planning'!$E:$E,Summary!$D$1)</f>
        <v>49</v>
      </c>
      <c r="G22" s="52">
        <f>COUNTIFS('2b. Planning'!$I:$I,Summary!$A22,'2b. Planning'!$C:$C,Summary!G$19,'2b. Planning'!$E:$E,Summary!$D$1)</f>
        <v>2</v>
      </c>
      <c r="H22" s="88">
        <f>COUNTIFS('2b. Planning'!$I:$I,Summary!$A22,'2b. Planning'!$C:$C,Summary!H$19,'2b. Planning'!$E:$E,Summary!$D$1)</f>
        <v>46</v>
      </c>
      <c r="I22" s="81">
        <f t="shared" ref="I22:I25" si="8">C22+F22</f>
        <v>204</v>
      </c>
      <c r="J22" s="52">
        <f t="shared" ref="J22:J25" si="9">D22+G22</f>
        <v>2</v>
      </c>
      <c r="K22" s="88">
        <f t="shared" ref="K22:K25" si="10">H22+E22</f>
        <v>46</v>
      </c>
      <c r="L22" s="81">
        <f>COUNTIFS('2b. Planning'!$I:$I,Summary!$A22,'2b. Planning'!$J:$J,Summary!L$19,'2b. Planning'!$E:$E,Summary!$C$1)</f>
        <v>122</v>
      </c>
      <c r="M22" s="52">
        <f>COUNTIFS('2b. Planning'!$I:$I,Summary!$A22,'2b. Planning'!$J:$J,Summary!M$19,'2b. Planning'!$E:$E,Summary!$C$1)</f>
        <v>0</v>
      </c>
      <c r="N22" s="88">
        <f>COUNTIFS('2b. Planning'!$I:$I,Summary!$A22,'2b. Planning'!$J:$J,Summary!N$19,'2b. Planning'!$E:$E,Summary!$C$1)</f>
        <v>0</v>
      </c>
      <c r="O22" s="81">
        <f>COUNTIFS('2b. Planning'!$I:$I,Summary!$A22,'2b. Planning'!$J:$J,Summary!O$19,'2b. Planning'!$E:$E,Summary!$D$1)</f>
        <v>39</v>
      </c>
      <c r="P22" s="52">
        <f>COUNTIFS('2b. Planning'!$I:$I,Summary!$A22,'2b. Planning'!$J:$J,Summary!P$19,'2b. Planning'!$E:$E,Summary!$D$1)</f>
        <v>0</v>
      </c>
      <c r="Q22" s="88">
        <f>COUNTIFS('2b. Planning'!$I:$I,Summary!$A22,'2b. Planning'!$J:$J,Summary!Q$19,'2b. Planning'!$E:$E,Summary!$D$1)</f>
        <v>0</v>
      </c>
      <c r="R22" s="81">
        <f t="shared" ref="R22:R25" si="11">L22+O22</f>
        <v>161</v>
      </c>
      <c r="S22" s="52">
        <f t="shared" ref="S22:S25" si="12">M22+P22</f>
        <v>0</v>
      </c>
      <c r="T22" s="88">
        <f t="shared" ref="T22:T25" si="13">Q22+N22</f>
        <v>0</v>
      </c>
      <c r="U22" s="86">
        <f t="shared" ref="U22:U25" si="14">R22-I22</f>
        <v>-43</v>
      </c>
      <c r="V22" s="86">
        <f t="shared" si="6"/>
        <v>-2</v>
      </c>
      <c r="W22" s="86">
        <f t="shared" si="7"/>
        <v>-46</v>
      </c>
    </row>
    <row r="23" spans="1:23" x14ac:dyDescent="0.25">
      <c r="A23" s="52" t="s">
        <v>13</v>
      </c>
      <c r="B23" s="82" t="s">
        <v>14</v>
      </c>
      <c r="C23" s="81">
        <f>COUNTIFS('2c. Delivery'!$I:$I,Summary!$A23,'2c. Delivery'!$C:$C,Summary!C$19,'2c. Delivery'!$E:$E,Summary!$C$1)</f>
        <v>27</v>
      </c>
      <c r="D23" s="52">
        <f>COUNTIFS('2c. Delivery'!$I:$I,Summary!$A23,'2c. Delivery'!$C:$C,Summary!D$19,'2c. Delivery'!$E:$E,Summary!$C$1)</f>
        <v>0</v>
      </c>
      <c r="E23" s="88">
        <f>COUNTIFS('2c. Delivery'!$I:$I,Summary!$A23,'2c. Delivery'!$C:$C,Summary!E$19,'2c. Delivery'!$E:$E,Summary!$C$1)</f>
        <v>0</v>
      </c>
      <c r="F23" s="81">
        <f>COUNTIFS('2c. Delivery'!$I:$I,Summary!$A23,'2c. Delivery'!$C:$C,Summary!F$19,'2c. Delivery'!$E:$E,Summary!$D$1)</f>
        <v>56</v>
      </c>
      <c r="G23" s="52">
        <f>COUNTIFS('2c. Delivery'!$I:$I,Summary!$A23,'2c. Delivery'!$C:$C,Summary!G$19,'2c. Delivery'!$E:$E,Summary!$D$1)</f>
        <v>2</v>
      </c>
      <c r="H23" s="88">
        <f>COUNTIFS('2c. Delivery'!$I:$I,Summary!$A23,'2c. Delivery'!$C:$C,Summary!H$19,'2c. Delivery'!$E:$E,Summary!$D$1)</f>
        <v>16</v>
      </c>
      <c r="I23" s="81">
        <f t="shared" si="8"/>
        <v>83</v>
      </c>
      <c r="J23" s="52">
        <f t="shared" si="9"/>
        <v>2</v>
      </c>
      <c r="K23" s="88">
        <f t="shared" si="10"/>
        <v>16</v>
      </c>
      <c r="L23" s="81">
        <f>COUNTIFS('2c. Delivery'!$I:$I,Summary!$A23,'2c. Delivery'!$J:$J,Summary!L$19,'2c. Delivery'!$E:$E,Summary!$C$1)</f>
        <v>20</v>
      </c>
      <c r="M23" s="52">
        <f>COUNTIFS('2c. Delivery'!$I:$I,Summary!$A23,'2c. Delivery'!$J:$J,Summary!M$19,'2c. Delivery'!$E:$E,Summary!$C$1)</f>
        <v>0</v>
      </c>
      <c r="N23" s="88">
        <f>COUNTIFS('2c. Delivery'!$I:$I,Summary!$A23,'2c. Delivery'!$J:$J,Summary!N$19,'2c. Delivery'!$E:$E,Summary!$C$1)</f>
        <v>1</v>
      </c>
      <c r="O23" s="81">
        <f>COUNTIFS('2c. Delivery'!$I:$I,Summary!$A23,'2c. Delivery'!$J:$J,Summary!O$19,'2c. Delivery'!$E:$E,Summary!$D$1)</f>
        <v>34</v>
      </c>
      <c r="P23" s="52">
        <f>COUNTIFS('2c. Delivery'!$I:$I,Summary!$A23,'2c. Delivery'!$J:$J,Summary!P$19,'2c. Delivery'!$E:$E,Summary!$D$1)</f>
        <v>0</v>
      </c>
      <c r="Q23" s="88">
        <f>COUNTIFS('2c. Delivery'!$I:$I,Summary!$A23,'2c. Delivery'!$J:$J,Summary!Q$19,'2c. Delivery'!$E:$E,Summary!$D$1)</f>
        <v>3</v>
      </c>
      <c r="R23" s="81">
        <f t="shared" si="11"/>
        <v>54</v>
      </c>
      <c r="S23" s="52">
        <f t="shared" si="12"/>
        <v>0</v>
      </c>
      <c r="T23" s="88">
        <f t="shared" si="13"/>
        <v>4</v>
      </c>
      <c r="U23" s="86">
        <f t="shared" si="14"/>
        <v>-29</v>
      </c>
      <c r="V23" s="86">
        <f t="shared" si="6"/>
        <v>-2</v>
      </c>
      <c r="W23" s="86">
        <f t="shared" si="7"/>
        <v>-12</v>
      </c>
    </row>
    <row r="24" spans="1:23" x14ac:dyDescent="0.25">
      <c r="A24" s="52" t="s">
        <v>15</v>
      </c>
      <c r="B24" s="82" t="s">
        <v>16</v>
      </c>
      <c r="C24" s="81">
        <f>COUNTIFS('2d. Reconciliation'!$I:$I,Summary!$A24,'2d. Reconciliation'!$C:$C,Summary!C$19,'2d. Reconciliation'!$E:$E,Summary!$C$1)</f>
        <v>17</v>
      </c>
      <c r="D24" s="52">
        <f>COUNTIFS('2d. Reconciliation'!$I:$I,Summary!$A24,'2d. Reconciliation'!$C:$C,Summary!D$19,'2d. Reconciliation'!$E:$E,Summary!$C$1)</f>
        <v>0</v>
      </c>
      <c r="E24" s="88">
        <f>COUNTIFS('2d. Reconciliation'!$I:$I,Summary!$A24,'2d. Reconciliation'!$C:$C,Summary!E$19,'2d. Reconciliation'!$E:$E,Summary!$C$1)</f>
        <v>0</v>
      </c>
      <c r="F24" s="81">
        <f>COUNTIFS('2d. Reconciliation'!$I:$I,Summary!$A24,'2d. Reconciliation'!$C:$C,Summary!F$19,'2d. Reconciliation'!$E:$E,Summary!$D$1)</f>
        <v>9</v>
      </c>
      <c r="G24" s="52">
        <f>COUNTIFS('2d. Reconciliation'!$I:$I,Summary!$A24,'2d. Reconciliation'!$C:$C,Summary!G$19,'2d. Reconciliation'!$E:$E,Summary!$D$1)</f>
        <v>0</v>
      </c>
      <c r="H24" s="88">
        <f>COUNTIFS('2d. Reconciliation'!$I:$I,Summary!$A24,'2d. Reconciliation'!$C:$C,Summary!H$19,'2d. Reconciliation'!$E:$E,Summary!$D$1)</f>
        <v>4</v>
      </c>
      <c r="I24" s="81">
        <f t="shared" si="8"/>
        <v>26</v>
      </c>
      <c r="J24" s="52">
        <f t="shared" si="9"/>
        <v>0</v>
      </c>
      <c r="K24" s="88">
        <f t="shared" si="10"/>
        <v>4</v>
      </c>
      <c r="L24" s="81">
        <f>COUNTIFS('2d. Reconciliation'!$I:$I,Summary!$A24,'2d. Reconciliation'!$J:$J,Summary!L$19,'2d. Reconciliation'!$E:$E,Summary!$C$1)</f>
        <v>12</v>
      </c>
      <c r="M24" s="52">
        <f>COUNTIFS('2d. Reconciliation'!$I:$I,Summary!$A24,'2d. Reconciliation'!$J:$J,Summary!M$19,'2d. Reconciliation'!$E:$E,Summary!$C$1)</f>
        <v>0</v>
      </c>
      <c r="N24" s="88">
        <f>COUNTIFS('2d. Reconciliation'!$I:$I,Summary!$A24,'2d. Reconciliation'!$J:$J,Summary!N$19,'2d. Reconciliation'!$E:$E,Summary!$C$1)</f>
        <v>0</v>
      </c>
      <c r="O24" s="81">
        <f>COUNTIFS('2d. Reconciliation'!$I:$I,Summary!$A24,'2d. Reconciliation'!$J:$J,Summary!O$19,'2d. Reconciliation'!$E:$E,Summary!$D$1)</f>
        <v>7</v>
      </c>
      <c r="P24" s="52">
        <f>COUNTIFS('2d. Reconciliation'!$I:$I,Summary!$A24,'2d. Reconciliation'!$J:$J,Summary!P$19,'2d. Reconciliation'!$E:$E,Summary!$D$1)</f>
        <v>0</v>
      </c>
      <c r="Q24" s="88">
        <f>COUNTIFS('2d. Reconciliation'!$I:$I,Summary!$A24,'2d. Reconciliation'!$J:$J,Summary!Q$19,'2d. Reconciliation'!$E:$E,Summary!$D$1)</f>
        <v>0</v>
      </c>
      <c r="R24" s="81">
        <f t="shared" si="11"/>
        <v>19</v>
      </c>
      <c r="S24" s="52">
        <f t="shared" si="12"/>
        <v>0</v>
      </c>
      <c r="T24" s="88">
        <f t="shared" si="13"/>
        <v>0</v>
      </c>
      <c r="U24" s="86">
        <f t="shared" si="14"/>
        <v>-7</v>
      </c>
      <c r="V24" s="86">
        <f t="shared" si="6"/>
        <v>0</v>
      </c>
      <c r="W24" s="86">
        <f t="shared" si="7"/>
        <v>-4</v>
      </c>
    </row>
    <row r="25" spans="1:23" x14ac:dyDescent="0.25">
      <c r="A25" s="52" t="s">
        <v>17</v>
      </c>
      <c r="B25" s="82" t="s">
        <v>18</v>
      </c>
      <c r="C25" s="81">
        <f>COUNTIFS('2e. Reporting'!$I:$I,Summary!$A25,'2e. Reporting'!$C:$C,Summary!C$19,'2e. Reporting'!$E:$E,Summary!$C$1)</f>
        <v>49</v>
      </c>
      <c r="D25" s="52">
        <f>COUNTIFS('2e. Reporting'!$I:$I,Summary!$A25,'2e. Reporting'!$C:$C,Summary!D$19,'2e. Reporting'!$E:$E,Summary!$C$1)</f>
        <v>0</v>
      </c>
      <c r="E25" s="88">
        <f>COUNTIFS('2e. Reporting'!$I:$I,Summary!$A25,'2e. Reporting'!$C:$C,Summary!E$19,'2e. Reporting'!$E:$E,Summary!$C$1)</f>
        <v>0</v>
      </c>
      <c r="F25" s="81">
        <f>COUNTIFS('2e. Reporting'!$I:$I,Summary!$A25,'2e. Reporting'!$C:$C,Summary!F$19,'2e. Reporting'!$E:$E,Summary!$D$1)</f>
        <v>17</v>
      </c>
      <c r="G25" s="52">
        <f>COUNTIFS('2e. Reporting'!$I:$I,Summary!$A25,'2e. Reporting'!$C:$C,Summary!G$19,'2e. Reporting'!$E:$E,Summary!$D$1)</f>
        <v>0</v>
      </c>
      <c r="H25" s="88">
        <f>COUNTIFS('2e. Reporting'!$I:$I,Summary!$A25,'2e. Reporting'!$C:$C,Summary!H$19,'2e. Reporting'!$E:$E,Summary!$D$1)</f>
        <v>8</v>
      </c>
      <c r="I25" s="81">
        <f t="shared" si="8"/>
        <v>66</v>
      </c>
      <c r="J25" s="52">
        <f t="shared" si="9"/>
        <v>0</v>
      </c>
      <c r="K25" s="88">
        <f t="shared" si="10"/>
        <v>8</v>
      </c>
      <c r="L25" s="81">
        <f>COUNTIFS('2e. Reporting'!$I:$I,Summary!$A25,'2e. Reporting'!$J:$J,Summary!L$19,'2e. Reporting'!$E:$E,Summary!$C$1)</f>
        <v>49</v>
      </c>
      <c r="M25" s="52">
        <f>COUNTIFS('2e. Reporting'!$I:$I,Summary!$A25,'2e. Reporting'!$J:$J,Summary!M$19,'2e. Reporting'!$E:$E,Summary!$C$1)</f>
        <v>0</v>
      </c>
      <c r="N25" s="88">
        <f>COUNTIFS('2e. Reporting'!$I:$I,Summary!$A25,'2e. Reporting'!$J:$J,Summary!N$19,'2e. Reporting'!$E:$E,Summary!$C$1)</f>
        <v>0</v>
      </c>
      <c r="O25" s="81">
        <f>COUNTIFS('2e. Reporting'!$I:$I,Summary!$A25,'2e. Reporting'!$J:$J,Summary!O$19,'2e. Reporting'!$E:$E,Summary!$D$1)</f>
        <v>19</v>
      </c>
      <c r="P25" s="52">
        <f>COUNTIFS('2e. Reporting'!$I:$I,Summary!$A25,'2e. Reporting'!$J:$J,Summary!P$19,'2e. Reporting'!$E:$E,Summary!$D$1)</f>
        <v>0</v>
      </c>
      <c r="Q25" s="88">
        <f>COUNTIFS('2e. Reporting'!$I:$I,Summary!$A25,'2e. Reporting'!$J:$J,Summary!Q$19,'2e. Reporting'!$E:$E,Summary!$D$1)</f>
        <v>0</v>
      </c>
      <c r="R25" s="81">
        <f t="shared" si="11"/>
        <v>68</v>
      </c>
      <c r="S25" s="52">
        <f t="shared" si="12"/>
        <v>0</v>
      </c>
      <c r="T25" s="88">
        <f t="shared" si="13"/>
        <v>0</v>
      </c>
      <c r="U25" s="86">
        <f t="shared" si="14"/>
        <v>2</v>
      </c>
      <c r="V25" s="86">
        <f t="shared" si="6"/>
        <v>0</v>
      </c>
      <c r="W25" s="86">
        <f t="shared" si="7"/>
        <v>-8</v>
      </c>
    </row>
    <row r="26" spans="1:23" x14ac:dyDescent="0.25">
      <c r="A26" s="83"/>
      <c r="B26" s="85"/>
      <c r="C26" s="89"/>
      <c r="D26" s="84"/>
      <c r="E26" s="90"/>
      <c r="F26" s="156"/>
      <c r="G26" s="83"/>
      <c r="H26" s="157"/>
      <c r="I26" s="89"/>
      <c r="J26" s="83"/>
      <c r="K26" s="90"/>
      <c r="L26" s="89"/>
      <c r="M26" s="83"/>
      <c r="N26" s="90"/>
      <c r="O26" s="89"/>
      <c r="P26" s="83"/>
      <c r="Q26" s="90"/>
      <c r="R26" s="89"/>
      <c r="S26" s="83"/>
      <c r="T26" s="90"/>
      <c r="U26" s="87"/>
      <c r="V26" s="83"/>
      <c r="W26" s="83"/>
    </row>
    <row r="27" spans="1:23" x14ac:dyDescent="0.25">
      <c r="A27" s="52" t="s">
        <v>19</v>
      </c>
      <c r="B27" s="82" t="s">
        <v>20</v>
      </c>
      <c r="C27" s="81">
        <f>COUNTIFS('3a. Security'!$I:$I,Summary!$A27,'3a. Security'!$C:$C,Summary!C$19,'3a. Security'!$E:$E,Summary!$C$1)</f>
        <v>6</v>
      </c>
      <c r="D27" s="52">
        <f>COUNTIFS('3a. Security'!$I:$I,Summary!$A27,'3a. Security'!$C:$C,Summary!D$19,'3a. Security'!$E:$E,Summary!$C$1)</f>
        <v>0</v>
      </c>
      <c r="E27" s="88">
        <f>COUNTIFS('3a. Security'!$I:$I,Summary!$A27,'3a. Security'!$C:$C,Summary!E$19,'3a. Security'!$E:$E,Summary!$C$1)</f>
        <v>0</v>
      </c>
      <c r="F27" s="81">
        <f>COUNTIFS('3a. Security'!$I:$I,Summary!$A27,'3a. Security'!$C:$C,Summary!F$19,'3a. Security'!$E:$E,Summary!$D$1)</f>
        <v>0</v>
      </c>
      <c r="G27" s="52">
        <f>COUNTIFS('3a. Security'!$I:$I,Summary!$A27,'3a. Security'!$C:$C,Summary!G$19,'3a. Security'!$E:$E,Summary!$D$1)</f>
        <v>0</v>
      </c>
      <c r="H27" s="88">
        <f>COUNTIFS('3a. Security'!$I:$I,Summary!$A27,'3a. Security'!$C:$C,Summary!H$19,'3a. Security'!$E:$E,Summary!$D$1)</f>
        <v>0</v>
      </c>
      <c r="I27" s="81">
        <f t="shared" ref="I27:I34" si="15">C27+F27</f>
        <v>6</v>
      </c>
      <c r="J27" s="52">
        <f t="shared" ref="J27:J34" si="16">D27+G27</f>
        <v>0</v>
      </c>
      <c r="K27" s="88">
        <f t="shared" ref="K27:K34" si="17">H27+E27</f>
        <v>0</v>
      </c>
      <c r="L27" s="81">
        <f>COUNTIFS('3a. Security'!$I:$I,Summary!$A27,'3a. Security'!$J:$J,Summary!L$19,'3a. Security'!$E:$E,Summary!$C$1)</f>
        <v>6</v>
      </c>
      <c r="M27" s="52">
        <f>COUNTIFS('3a. Security'!$I:$I,Summary!$A27,'3a. Security'!$J:$J,Summary!M$19,'3a. Security'!$E:$E,Summary!$C$1)</f>
        <v>0</v>
      </c>
      <c r="N27" s="88">
        <f>COUNTIFS('3a. Security'!$I:$I,Summary!$A27,'3a. Security'!$J:$J,Summary!N$19,'3a. Security'!$E:$E,Summary!$C$1)</f>
        <v>0</v>
      </c>
      <c r="O27" s="81">
        <f>COUNTIFS('3a. Security'!$I:$I,Summary!$A27,'3a. Security'!$J:$J,Summary!O$19,'3a. Security'!$E:$E,Summary!$D$1)</f>
        <v>0</v>
      </c>
      <c r="P27" s="52">
        <f>COUNTIFS('3a. Security'!$I:$I,Summary!$A27,'3a. Security'!$J:$J,Summary!P$19,'3a. Security'!$E:$E,Summary!$D$1)</f>
        <v>0</v>
      </c>
      <c r="Q27" s="88">
        <f>COUNTIFS('3a. Security'!$I:$I,Summary!$A27,'3a. Security'!$J:$J,Summary!Q$19,'3a. Security'!$E:$E,Summary!$D$1)</f>
        <v>0</v>
      </c>
      <c r="R27" s="81">
        <f t="shared" ref="R27:R34" si="18">L27+O27</f>
        <v>6</v>
      </c>
      <c r="S27" s="52">
        <f t="shared" ref="S27:S34" si="19">M27+P27</f>
        <v>0</v>
      </c>
      <c r="T27" s="88">
        <f t="shared" ref="T27:T34" si="20">Q27+N27</f>
        <v>0</v>
      </c>
      <c r="U27" s="86">
        <f t="shared" ref="U27:U34" si="21">R27-I27</f>
        <v>0</v>
      </c>
      <c r="V27" s="86">
        <f t="shared" ref="V27:V34" si="22">S27-J27</f>
        <v>0</v>
      </c>
      <c r="W27" s="86">
        <f t="shared" ref="W27:W34" si="23">T27-K27</f>
        <v>0</v>
      </c>
    </row>
    <row r="28" spans="1:23" x14ac:dyDescent="0.25">
      <c r="A28" s="52" t="s">
        <v>21</v>
      </c>
      <c r="B28" s="82" t="s">
        <v>22</v>
      </c>
      <c r="C28" s="81">
        <f>COUNTIFS('3b. User Interface and User Exp'!$I:$I,Summary!$A28,'3b. User Interface and User Exp'!$C:$C,Summary!C$19,'3b. User Interface and User Exp'!$E:$E,Summary!$C$1)</f>
        <v>2</v>
      </c>
      <c r="D28" s="52">
        <f>COUNTIFS('3b. User Interface and User Exp'!$I:$I,Summary!$A28,'3b. User Interface and User Exp'!$C:$C,Summary!D$19,'3b. User Interface and User Exp'!$E:$E,Summary!$C$1)</f>
        <v>0</v>
      </c>
      <c r="E28" s="88">
        <f>COUNTIFS('3b. User Interface and User Exp'!$I:$I,Summary!$A28,'3b. User Interface and User Exp'!$C:$C,Summary!E$19,'3b. User Interface and User Exp'!$E:$E,Summary!$C$1)</f>
        <v>0</v>
      </c>
      <c r="F28" s="81">
        <f>COUNTIFS('3b. User Interface and User Exp'!$I:$I,Summary!$A28,'3b. User Interface and User Exp'!$C:$C,Summary!F$19,'3b. User Interface and User Exp'!$E:$E,Summary!$D$1)</f>
        <v>5</v>
      </c>
      <c r="G28" s="52">
        <f>COUNTIFS('3b. User Interface and User Exp'!$I:$I,Summary!$A28,'3b. User Interface and User Exp'!$C:$C,Summary!G$19,'3b. User Interface and User Exp'!$E:$E,Summary!$D$1)</f>
        <v>0</v>
      </c>
      <c r="H28" s="88">
        <f>COUNTIFS('3b. User Interface and User Exp'!$I:$I,Summary!$A28,'3b. User Interface and User Exp'!$C:$C,Summary!H$19,'3b. User Interface and User Exp'!$E:$E,Summary!$D$1)</f>
        <v>0</v>
      </c>
      <c r="I28" s="81">
        <f t="shared" si="15"/>
        <v>7</v>
      </c>
      <c r="J28" s="52">
        <f t="shared" si="16"/>
        <v>0</v>
      </c>
      <c r="K28" s="88">
        <f t="shared" si="17"/>
        <v>0</v>
      </c>
      <c r="L28" s="81">
        <f>COUNTIFS('3b. User Interface and User Exp'!$I:$I,Summary!$A28,'3b. User Interface and User Exp'!$J:$J,Summary!L$19,'3b. User Interface and User Exp'!$E:$E,Summary!$C$1)</f>
        <v>2</v>
      </c>
      <c r="M28" s="52">
        <f>COUNTIFS('3b. User Interface and User Exp'!$I:$I,Summary!$A28,'3b. User Interface and User Exp'!$J:$J,Summary!M$19,'3b. User Interface and User Exp'!$E:$E,Summary!$C$1)</f>
        <v>0</v>
      </c>
      <c r="N28" s="88">
        <f>COUNTIFS('3b. User Interface and User Exp'!$I:$I,Summary!$A28,'3b. User Interface and User Exp'!$J:$J,Summary!N$19,'3b. User Interface and User Exp'!$E:$E,Summary!$C$1)</f>
        <v>0</v>
      </c>
      <c r="O28" s="81">
        <f>COUNTIFS('3b. User Interface and User Exp'!$I:$I,Summary!$A28,'3b. User Interface and User Exp'!$J:$J,Summary!O$19,'3b. User Interface and User Exp'!$E:$E,Summary!$D$1)</f>
        <v>5</v>
      </c>
      <c r="P28" s="52">
        <f>COUNTIFS('3b. User Interface and User Exp'!$I:$I,Summary!$A28,'3b. User Interface and User Exp'!$J:$J,Summary!P$19,'3b. User Interface and User Exp'!$E:$E,Summary!$D$1)</f>
        <v>0</v>
      </c>
      <c r="Q28" s="88">
        <f>COUNTIFS('3b. User Interface and User Exp'!$I:$I,Summary!$A28,'3b. User Interface and User Exp'!$J:$J,Summary!Q$19,'3b. User Interface and User Exp'!$E:$E,Summary!$D$1)</f>
        <v>0</v>
      </c>
      <c r="R28" s="81">
        <f t="shared" si="18"/>
        <v>7</v>
      </c>
      <c r="S28" s="52">
        <f t="shared" si="19"/>
        <v>0</v>
      </c>
      <c r="T28" s="88">
        <f t="shared" si="20"/>
        <v>0</v>
      </c>
      <c r="U28" s="86">
        <f t="shared" si="21"/>
        <v>0</v>
      </c>
      <c r="V28" s="86">
        <f t="shared" si="22"/>
        <v>0</v>
      </c>
      <c r="W28" s="86">
        <f t="shared" si="23"/>
        <v>0</v>
      </c>
    </row>
    <row r="29" spans="1:23" x14ac:dyDescent="0.25">
      <c r="A29" s="52" t="s">
        <v>23</v>
      </c>
      <c r="B29" s="82" t="s">
        <v>24</v>
      </c>
      <c r="C29" s="81">
        <f>COUNTIFS('3c. Performance-Scalability'!$I:$I,Summary!$A29,'3c. Performance-Scalability'!$C:$C,Summary!C$19,'3c. Performance-Scalability'!$E:$E,Summary!$C$1)</f>
        <v>0</v>
      </c>
      <c r="D29" s="52">
        <f>COUNTIFS('3c. Performance-Scalability'!$I:$I,Summary!$A29,'3c. Performance-Scalability'!$C:$C,Summary!D$19,'3c. Performance-Scalability'!$E:$E,Summary!$C$1)</f>
        <v>0</v>
      </c>
      <c r="E29" s="88">
        <f>COUNTIFS('3c. Performance-Scalability'!$I:$I,Summary!$A29,'3c. Performance-Scalability'!$C:$C,Summary!E$19,'3c. Performance-Scalability'!$E:$E,Summary!$C$1)</f>
        <v>0</v>
      </c>
      <c r="F29" s="81">
        <f>COUNTIFS('3c. Performance-Scalability'!$I:$I,Summary!$A29,'3c. Performance-Scalability'!$C:$C,Summary!F$19,'3c. Performance-Scalability'!$E:$E,Summary!$D$1)</f>
        <v>6</v>
      </c>
      <c r="G29" s="52">
        <f>COUNTIFS('3c. Performance-Scalability'!$I:$I,Summary!$A29,'3c. Performance-Scalability'!$C:$C,Summary!G$19,'3c. Performance-Scalability'!$E:$E,Summary!$D$1)</f>
        <v>0</v>
      </c>
      <c r="H29" s="88">
        <f>COUNTIFS('3c. Performance-Scalability'!$I:$I,Summary!$A29,'3c. Performance-Scalability'!$C:$C,Summary!H$19,'3c. Performance-Scalability'!$E:$E,Summary!$D$1)</f>
        <v>0</v>
      </c>
      <c r="I29" s="81">
        <f t="shared" si="15"/>
        <v>6</v>
      </c>
      <c r="J29" s="52">
        <f t="shared" si="16"/>
        <v>0</v>
      </c>
      <c r="K29" s="88">
        <f t="shared" si="17"/>
        <v>0</v>
      </c>
      <c r="L29" s="81">
        <f>COUNTIFS('3c. Performance-Scalability'!$I:$I,Summary!$A29,'3c. Performance-Scalability'!$J:$J,Summary!L$19,'3c. Performance-Scalability'!$E:$E,Summary!$C$1)</f>
        <v>0</v>
      </c>
      <c r="M29" s="52">
        <f>COUNTIFS('3c. Performance-Scalability'!$I:$I,Summary!$A29,'3c. Performance-Scalability'!$J:$J,Summary!M$19,'3c. Performance-Scalability'!$E:$E,Summary!$C$1)</f>
        <v>0</v>
      </c>
      <c r="N29" s="88">
        <f>COUNTIFS('3c. Performance-Scalability'!$I:$I,Summary!$A29,'3c. Performance-Scalability'!$J:$J,Summary!N$19,'3c. Performance-Scalability'!$E:$E,Summary!$C$1)</f>
        <v>0</v>
      </c>
      <c r="O29" s="81">
        <f>COUNTIFS('3c. Performance-Scalability'!$I:$I,Summary!$A29,'3c. Performance-Scalability'!$J:$J,Summary!O$19,'3c. Performance-Scalability'!$E:$E,Summary!$D$1)</f>
        <v>6</v>
      </c>
      <c r="P29" s="52">
        <f>COUNTIFS('3c. Performance-Scalability'!$I:$I,Summary!$A29,'3c. Performance-Scalability'!$J:$J,Summary!P$19,'3c. Performance-Scalability'!$E:$E,Summary!$D$1)</f>
        <v>0</v>
      </c>
      <c r="Q29" s="88">
        <f>COUNTIFS('3c. Performance-Scalability'!$I:$I,Summary!$A29,'3c. Performance-Scalability'!$J:$J,Summary!Q$19,'3c. Performance-Scalability'!$E:$E,Summary!$D$1)</f>
        <v>0</v>
      </c>
      <c r="R29" s="81">
        <f t="shared" si="18"/>
        <v>6</v>
      </c>
      <c r="S29" s="52">
        <f t="shared" si="19"/>
        <v>0</v>
      </c>
      <c r="T29" s="88">
        <f t="shared" si="20"/>
        <v>0</v>
      </c>
      <c r="U29" s="86">
        <f t="shared" si="21"/>
        <v>0</v>
      </c>
      <c r="V29" s="86">
        <f t="shared" si="22"/>
        <v>0</v>
      </c>
      <c r="W29" s="86">
        <f t="shared" si="23"/>
        <v>0</v>
      </c>
    </row>
    <row r="30" spans="1:23" x14ac:dyDescent="0.25">
      <c r="A30" s="52" t="s">
        <v>25</v>
      </c>
      <c r="B30" s="82" t="s">
        <v>26</v>
      </c>
      <c r="C30" s="81">
        <f>COUNTIFS('3d. Support-Maintenance'!$I:$I,Summary!$A30,'3d. Support-Maintenance'!$C:$C,Summary!C$19,'3d. Support-Maintenance'!$E:$E,Summary!$C$1)</f>
        <v>5</v>
      </c>
      <c r="D30" s="52">
        <f>COUNTIFS('3d. Support-Maintenance'!$I:$I,Summary!$A30,'3d. Support-Maintenance'!$C:$C,Summary!D$19,'3d. Support-Maintenance'!$E:$E,Summary!$C$1)</f>
        <v>0</v>
      </c>
      <c r="E30" s="88">
        <f>COUNTIFS('3d. Support-Maintenance'!$I:$I,Summary!$A30,'3d. Support-Maintenance'!$C:$C,Summary!E$19,'3d. Support-Maintenance'!$E:$E,Summary!$C$1)</f>
        <v>0</v>
      </c>
      <c r="F30" s="81">
        <f>COUNTIFS('3d. Support-Maintenance'!$I:$I,Summary!$A30,'3d. Support-Maintenance'!$C:$C,Summary!F$19,'3d. Support-Maintenance'!$E:$E,Summary!$D$1)</f>
        <v>2</v>
      </c>
      <c r="G30" s="52">
        <f>COUNTIFS('3d. Support-Maintenance'!$I:$I,Summary!$A30,'3d. Support-Maintenance'!$C:$C,Summary!G$19,'3d. Support-Maintenance'!$E:$E,Summary!$D$1)</f>
        <v>0</v>
      </c>
      <c r="H30" s="88">
        <f>COUNTIFS('3d. Support-Maintenance'!$I:$I,Summary!$A30,'3d. Support-Maintenance'!$C:$C,Summary!H$19,'3d. Support-Maintenance'!$E:$E,Summary!$D$1)</f>
        <v>0</v>
      </c>
      <c r="I30" s="81">
        <f t="shared" si="15"/>
        <v>7</v>
      </c>
      <c r="J30" s="52">
        <f t="shared" si="16"/>
        <v>0</v>
      </c>
      <c r="K30" s="88">
        <f t="shared" si="17"/>
        <v>0</v>
      </c>
      <c r="L30" s="81">
        <f>COUNTIFS('3d. Support-Maintenance'!$I:$I,Summary!$A30,'3d. Support-Maintenance'!$J:$J,Summary!L$19,'3d. Support-Maintenance'!$E:$E,Summary!$C$1)</f>
        <v>5</v>
      </c>
      <c r="M30" s="52">
        <f>COUNTIFS('3d. Support-Maintenance'!$I:$I,Summary!$A30,'3d. Support-Maintenance'!$J:$J,Summary!M$19,'3d. Support-Maintenance'!$E:$E,Summary!$C$1)</f>
        <v>0</v>
      </c>
      <c r="N30" s="88">
        <f>COUNTIFS('3d. Support-Maintenance'!$I:$I,Summary!$A30,'3d. Support-Maintenance'!$J:$J,Summary!N$19,'3d. Support-Maintenance'!$E:$E,Summary!$C$1)</f>
        <v>0</v>
      </c>
      <c r="O30" s="81">
        <f>COUNTIFS('3d. Support-Maintenance'!$I:$I,Summary!$A30,'3d. Support-Maintenance'!$J:$J,Summary!O$19,'3d. Support-Maintenance'!$E:$E,Summary!$D$1)</f>
        <v>2</v>
      </c>
      <c r="P30" s="52">
        <f>COUNTIFS('3d. Support-Maintenance'!$I:$I,Summary!$A30,'3d. Support-Maintenance'!$J:$J,Summary!P$19,'3d. Support-Maintenance'!$E:$E,Summary!$D$1)</f>
        <v>0</v>
      </c>
      <c r="Q30" s="88">
        <f>COUNTIFS('3d. Support-Maintenance'!$I:$I,Summary!$A30,'3d. Support-Maintenance'!$J:$J,Summary!Q$19,'3d. Support-Maintenance'!$E:$E,Summary!$D$1)</f>
        <v>0</v>
      </c>
      <c r="R30" s="81">
        <f t="shared" si="18"/>
        <v>7</v>
      </c>
      <c r="S30" s="52">
        <f t="shared" si="19"/>
        <v>0</v>
      </c>
      <c r="T30" s="88">
        <f t="shared" si="20"/>
        <v>0</v>
      </c>
      <c r="U30" s="86">
        <f t="shared" si="21"/>
        <v>0</v>
      </c>
      <c r="V30" s="86">
        <f t="shared" si="22"/>
        <v>0</v>
      </c>
      <c r="W30" s="86">
        <f t="shared" si="23"/>
        <v>0</v>
      </c>
    </row>
    <row r="31" spans="1:23" x14ac:dyDescent="0.25">
      <c r="A31" s="52" t="s">
        <v>27</v>
      </c>
      <c r="B31" s="82" t="s">
        <v>28</v>
      </c>
      <c r="C31" s="81">
        <f>COUNTIFS('3e. Reliability-Availability'!$I:$I,Summary!$A31,'3e. Reliability-Availability'!$C:$C,Summary!C$19,'3e. Reliability-Availability'!$E:$E,Summary!$C$1)</f>
        <v>4</v>
      </c>
      <c r="D31" s="52">
        <f>COUNTIFS('3e. Reliability-Availability'!$I:$I,Summary!$A31,'3e. Reliability-Availability'!$C:$C,Summary!D$19,'3e. Reliability-Availability'!$E:$E,Summary!$C$1)</f>
        <v>0</v>
      </c>
      <c r="E31" s="88">
        <f>COUNTIFS('3e. Reliability-Availability'!$I:$I,Summary!$A31,'3e. Reliability-Availability'!$C:$C,Summary!E$19,'3e. Reliability-Availability'!$E:$E,Summary!$C$1)</f>
        <v>0</v>
      </c>
      <c r="F31" s="81">
        <f>COUNTIFS('3e. Reliability-Availability'!$I:$I,Summary!$A31,'3e. Reliability-Availability'!$C:$C,Summary!F$19,'3e. Reliability-Availability'!$E:$E,Summary!$D$1)</f>
        <v>4</v>
      </c>
      <c r="G31" s="52">
        <f>COUNTIFS('3e. Reliability-Availability'!$I:$I,Summary!$A31,'3e. Reliability-Availability'!$C:$C,Summary!G$19,'3e. Reliability-Availability'!$E:$E,Summary!$D$1)</f>
        <v>0</v>
      </c>
      <c r="H31" s="88">
        <f>COUNTIFS('3e. Reliability-Availability'!$I:$I,Summary!$A31,'3e. Reliability-Availability'!$C:$C,Summary!H$19,'3e. Reliability-Availability'!$E:$E,Summary!$D$1)</f>
        <v>0</v>
      </c>
      <c r="I31" s="81">
        <f t="shared" si="15"/>
        <v>8</v>
      </c>
      <c r="J31" s="52">
        <f t="shared" si="16"/>
        <v>0</v>
      </c>
      <c r="K31" s="88">
        <f t="shared" si="17"/>
        <v>0</v>
      </c>
      <c r="L31" s="81">
        <f>COUNTIFS('3e. Reliability-Availability'!$I:$I,Summary!$A31,'3e. Reliability-Availability'!$J:$J,Summary!L$19,'3e. Reliability-Availability'!$E:$E,Summary!$C$1)</f>
        <v>4</v>
      </c>
      <c r="M31" s="52">
        <f>COUNTIFS('3e. Reliability-Availability'!$I:$I,Summary!$A31,'3e. Reliability-Availability'!$J:$J,Summary!M$19,'3e. Reliability-Availability'!$E:$E,Summary!$C$1)</f>
        <v>0</v>
      </c>
      <c r="N31" s="88">
        <f>COUNTIFS('3e. Reliability-Availability'!$I:$I,Summary!$A31,'3e. Reliability-Availability'!$J:$J,Summary!N$19,'3e. Reliability-Availability'!$E:$E,Summary!$C$1)</f>
        <v>0</v>
      </c>
      <c r="O31" s="81">
        <f>COUNTIFS('3e. Reliability-Availability'!$I:$I,Summary!$A31,'3e. Reliability-Availability'!$J:$J,Summary!O$19,'3e. Reliability-Availability'!$E:$E,Summary!$D$1)</f>
        <v>4</v>
      </c>
      <c r="P31" s="52">
        <f>COUNTIFS('3e. Reliability-Availability'!$I:$I,Summary!$A31,'3e. Reliability-Availability'!$J:$J,Summary!P$19,'3e. Reliability-Availability'!$E:$E,Summary!$D$1)</f>
        <v>0</v>
      </c>
      <c r="Q31" s="88">
        <f>COUNTIFS('3e. Reliability-Availability'!$I:$I,Summary!$A31,'3e. Reliability-Availability'!$J:$J,Summary!Q$19,'3e. Reliability-Availability'!$E:$E,Summary!$D$1)</f>
        <v>0</v>
      </c>
      <c r="R31" s="81">
        <f t="shared" si="18"/>
        <v>8</v>
      </c>
      <c r="S31" s="52">
        <f t="shared" si="19"/>
        <v>0</v>
      </c>
      <c r="T31" s="88">
        <f t="shared" si="20"/>
        <v>0</v>
      </c>
      <c r="U31" s="86">
        <f t="shared" si="21"/>
        <v>0</v>
      </c>
      <c r="V31" s="86">
        <f t="shared" si="22"/>
        <v>0</v>
      </c>
      <c r="W31" s="86">
        <f t="shared" si="23"/>
        <v>0</v>
      </c>
    </row>
    <row r="32" spans="1:23" x14ac:dyDescent="0.25">
      <c r="A32" s="52" t="s">
        <v>29</v>
      </c>
      <c r="B32" s="82" t="s">
        <v>30</v>
      </c>
      <c r="C32" s="81">
        <f>COUNTIFS('3f. Integration'!$I:$I,Summary!$A32,'3f. Integration'!$C:$C,Summary!C$19,'3f. Integration'!$E:$E,Summary!$C$1)</f>
        <v>12</v>
      </c>
      <c r="D32" s="52">
        <f>COUNTIFS('3f. Integration'!$I:$I,Summary!$A32,'3f. Integration'!$C:$C,Summary!D$19,'3f. Integration'!$E:$E,Summary!$C$1)</f>
        <v>0</v>
      </c>
      <c r="E32" s="88">
        <f>COUNTIFS('3f. Integration'!$I:$I,Summary!$A32,'3f. Integration'!$C:$C,Summary!E$19,'3f. Integration'!$E:$E,Summary!$C$1)</f>
        <v>0</v>
      </c>
      <c r="F32" s="81">
        <f>COUNTIFS('3f. Integration'!$I:$I,Summary!$A32,'3f. Integration'!$C:$C,Summary!F$19,'3f. Integration'!$E:$E,Summary!$D$1)</f>
        <v>4</v>
      </c>
      <c r="G32" s="52">
        <f>COUNTIFS('3f. Integration'!$I:$I,Summary!$A32,'3f. Integration'!$C:$C,Summary!G$19,'3f. Integration'!$E:$E,Summary!$D$1)</f>
        <v>0</v>
      </c>
      <c r="H32" s="88">
        <f>COUNTIFS('3f. Integration'!$I:$I,Summary!$A32,'3f. Integration'!$C:$C,Summary!H$19,'3f. Integration'!$E:$E,Summary!$D$1)</f>
        <v>1</v>
      </c>
      <c r="I32" s="81">
        <f t="shared" si="15"/>
        <v>16</v>
      </c>
      <c r="J32" s="52">
        <f t="shared" si="16"/>
        <v>0</v>
      </c>
      <c r="K32" s="88">
        <f t="shared" si="17"/>
        <v>1</v>
      </c>
      <c r="L32" s="81">
        <f>COUNTIFS('3f. Integration'!$I:$I,Summary!$A32,'3f. Integration'!$J:$J,Summary!L$19,'3f. Integration'!$E:$E,Summary!$C$1)</f>
        <v>12</v>
      </c>
      <c r="M32" s="52">
        <f>COUNTIFS('3f. Integration'!$I:$I,Summary!$A32,'3f. Integration'!$J:$J,Summary!M$19,'3f. Integration'!$E:$E,Summary!$C$1)</f>
        <v>0</v>
      </c>
      <c r="N32" s="88">
        <f>COUNTIFS('3f. Integration'!$I:$I,Summary!$A32,'3f. Integration'!$J:$J,Summary!N$19,'3f. Integration'!$E:$E,Summary!$C$1)</f>
        <v>0</v>
      </c>
      <c r="O32" s="81">
        <f>COUNTIFS('3f. Integration'!$I:$I,Summary!$A32,'3f. Integration'!$J:$J,Summary!O$19,'3f. Integration'!$E:$E,Summary!$D$1)</f>
        <v>4</v>
      </c>
      <c r="P32" s="52">
        <f>COUNTIFS('3f. Integration'!$I:$I,Summary!$A32,'3f. Integration'!$J:$J,Summary!P$19,'3f. Integration'!$E:$E,Summary!$D$1)</f>
        <v>0</v>
      </c>
      <c r="Q32" s="88">
        <f>COUNTIFS('3f. Integration'!$I:$I,Summary!$A32,'3f. Integration'!$J:$J,Summary!Q$19,'3f. Integration'!$E:$E,Summary!$D$1)</f>
        <v>0</v>
      </c>
      <c r="R32" s="81">
        <f t="shared" si="18"/>
        <v>16</v>
      </c>
      <c r="S32" s="52">
        <f t="shared" si="19"/>
        <v>0</v>
      </c>
      <c r="T32" s="88">
        <f t="shared" si="20"/>
        <v>0</v>
      </c>
      <c r="U32" s="86">
        <f t="shared" si="21"/>
        <v>0</v>
      </c>
      <c r="V32" s="86">
        <f t="shared" si="22"/>
        <v>0</v>
      </c>
      <c r="W32" s="86">
        <f t="shared" si="23"/>
        <v>-1</v>
      </c>
    </row>
    <row r="33" spans="1:23" x14ac:dyDescent="0.25">
      <c r="A33" s="52" t="s">
        <v>31</v>
      </c>
      <c r="B33" s="82" t="s">
        <v>32</v>
      </c>
      <c r="C33" s="81">
        <f>COUNTIFS('3g. Configurability'!$I:$I,Summary!$A33,'3g. Configurability'!$C:$C,Summary!C$19,'3g. Configurability'!$E:$E,Summary!$C$1)</f>
        <v>3</v>
      </c>
      <c r="D33" s="52">
        <f>COUNTIFS('3g. Configurability'!$I:$I,Summary!$A33,'3g. Configurability'!$C:$C,Summary!D$19,'3g. Configurability'!$E:$E,Summary!$C$1)</f>
        <v>0</v>
      </c>
      <c r="E33" s="88">
        <f>COUNTIFS('3g. Configurability'!$I:$I,Summary!$A33,'3g. Configurability'!$C:$C,Summary!E$19,'3g. Configurability'!$E:$E,Summary!$C$1)</f>
        <v>0</v>
      </c>
      <c r="F33" s="81">
        <f>COUNTIFS('3g. Configurability'!$I:$I,Summary!$A33,'3g. Configurability'!$C:$C,Summary!F$19,'3g. Configurability'!$E:$E,Summary!$D$1)</f>
        <v>1</v>
      </c>
      <c r="G33" s="52">
        <f>COUNTIFS('3g. Configurability'!$I:$I,Summary!$A33,'3g. Configurability'!$C:$C,Summary!G$19,'3g. Configurability'!$E:$E,Summary!$D$1)</f>
        <v>0</v>
      </c>
      <c r="H33" s="88">
        <f>COUNTIFS('3g. Configurability'!$I:$I,Summary!$A33,'3g. Configurability'!$C:$C,Summary!H$19,'3g. Configurability'!$E:$E,Summary!$D$1)</f>
        <v>0</v>
      </c>
      <c r="I33" s="81">
        <f t="shared" si="15"/>
        <v>4</v>
      </c>
      <c r="J33" s="52">
        <f t="shared" si="16"/>
        <v>0</v>
      </c>
      <c r="K33" s="88">
        <f t="shared" si="17"/>
        <v>0</v>
      </c>
      <c r="L33" s="81">
        <f>COUNTIFS('3g. Configurability'!$I:$I,Summary!$A33,'3g. Configurability'!$J:$J,Summary!L$19,'3g. Configurability'!$E:$E,Summary!$C$1)</f>
        <v>3</v>
      </c>
      <c r="M33" s="52">
        <f>COUNTIFS('3g. Configurability'!$I:$I,Summary!$A33,'3g. Configurability'!$J:$J,Summary!M$19,'3g. Configurability'!$E:$E,Summary!$C$1)</f>
        <v>0</v>
      </c>
      <c r="N33" s="88">
        <f>COUNTIFS('3g. Configurability'!$I:$I,Summary!$A33,'3g. Configurability'!$J:$J,Summary!N$19,'3g. Configurability'!$E:$E,Summary!$C$1)</f>
        <v>0</v>
      </c>
      <c r="O33" s="81">
        <f>COUNTIFS('3g. Configurability'!$I:$I,Summary!$A33,'3g. Configurability'!$J:$J,Summary!O$19,'3g. Configurability'!$E:$E,Summary!$D$1)</f>
        <v>1</v>
      </c>
      <c r="P33" s="52">
        <f>COUNTIFS('3g. Configurability'!$I:$I,Summary!$A33,'3g. Configurability'!$J:$J,Summary!P$19,'3g. Configurability'!$E:$E,Summary!$D$1)</f>
        <v>0</v>
      </c>
      <c r="Q33" s="88">
        <f>COUNTIFS('3g. Configurability'!$I:$I,Summary!$A33,'3g. Configurability'!$J:$J,Summary!Q$19,'3g. Configurability'!$E:$E,Summary!$D$1)</f>
        <v>0</v>
      </c>
      <c r="R33" s="81">
        <f t="shared" si="18"/>
        <v>4</v>
      </c>
      <c r="S33" s="52">
        <f t="shared" si="19"/>
        <v>0</v>
      </c>
      <c r="T33" s="88">
        <f t="shared" si="20"/>
        <v>0</v>
      </c>
      <c r="U33" s="86">
        <f t="shared" si="21"/>
        <v>0</v>
      </c>
      <c r="V33" s="86">
        <f t="shared" si="22"/>
        <v>0</v>
      </c>
      <c r="W33" s="86">
        <f t="shared" si="23"/>
        <v>0</v>
      </c>
    </row>
    <row r="34" spans="1:23" x14ac:dyDescent="0.25">
      <c r="A34" s="52" t="s">
        <v>33</v>
      </c>
      <c r="B34" s="82" t="s">
        <v>34</v>
      </c>
      <c r="C34" s="81">
        <f>COUNTIFS('3h. Compliance'!$I:$I,Summary!$A34,'3h. Compliance'!$C:$C,Summary!C$19,'3h. Compliance'!$E:$E,Summary!$C$1)</f>
        <v>4</v>
      </c>
      <c r="D34" s="52">
        <f>COUNTIFS('3h. Compliance'!$I:$I,Summary!$A34,'3h. Compliance'!$C:$C,Summary!D$19,'3h. Compliance'!$E:$E,Summary!$C$1)</f>
        <v>0</v>
      </c>
      <c r="E34" s="88">
        <f>COUNTIFS('3h. Compliance'!$I:$I,Summary!$A34,'3h. Compliance'!$C:$C,Summary!E$19,'3h. Compliance'!$E:$E,Summary!$C$1)</f>
        <v>0</v>
      </c>
      <c r="F34" s="81">
        <f>COUNTIFS('3h. Compliance'!$I:$I,Summary!$A34,'3h. Compliance'!$C:$C,Summary!F$19,'3h. Compliance'!$E:$E,Summary!$D$1)</f>
        <v>3</v>
      </c>
      <c r="G34" s="52">
        <f>COUNTIFS('3h. Compliance'!$I:$I,Summary!$A34,'3h. Compliance'!$C:$C,Summary!G$19,'3h. Compliance'!$E:$E,Summary!$D$1)</f>
        <v>0</v>
      </c>
      <c r="H34" s="88">
        <f>COUNTIFS('3h. Compliance'!$I:$I,Summary!$A34,'3h. Compliance'!$C:$C,Summary!H$19,'3h. Compliance'!$E:$E,Summary!$D$1)</f>
        <v>0</v>
      </c>
      <c r="I34" s="81">
        <f t="shared" si="15"/>
        <v>7</v>
      </c>
      <c r="J34" s="52">
        <f t="shared" si="16"/>
        <v>0</v>
      </c>
      <c r="K34" s="88">
        <f t="shared" si="17"/>
        <v>0</v>
      </c>
      <c r="L34" s="81">
        <f>COUNTIFS('3h. Compliance'!$I:$I,Summary!$A34,'3h. Compliance'!$J:$J,Summary!L$19,'3h. Compliance'!$E:$E,Summary!$C$1)</f>
        <v>4</v>
      </c>
      <c r="M34" s="52">
        <f>COUNTIFS('3h. Compliance'!$I:$I,Summary!$A34,'3h. Compliance'!$J:$J,Summary!M$19,'3h. Compliance'!$E:$E,Summary!$C$1)</f>
        <v>0</v>
      </c>
      <c r="N34" s="88">
        <f>COUNTIFS('3h. Compliance'!$I:$I,Summary!$A34,'3h. Compliance'!$J:$J,Summary!N$19,'3h. Compliance'!$E:$E,Summary!$C$1)</f>
        <v>0</v>
      </c>
      <c r="O34" s="81">
        <f>COUNTIFS('3h. Compliance'!$I:$I,Summary!$A34,'3h. Compliance'!$J:$J,Summary!O$19,'3h. Compliance'!$E:$E,Summary!$D$1)</f>
        <v>3</v>
      </c>
      <c r="P34" s="52">
        <f>COUNTIFS('3h. Compliance'!$I:$I,Summary!$A34,'3h. Compliance'!$J:$J,Summary!P$19,'3h. Compliance'!$E:$E,Summary!$D$1)</f>
        <v>0</v>
      </c>
      <c r="Q34" s="88">
        <f>COUNTIFS('3h. Compliance'!$I:$I,Summary!$A34,'3h. Compliance'!$J:$J,Summary!Q$19,'3h. Compliance'!$E:$E,Summary!$D$1)</f>
        <v>0</v>
      </c>
      <c r="R34" s="81">
        <f t="shared" si="18"/>
        <v>7</v>
      </c>
      <c r="S34" s="52">
        <f t="shared" si="19"/>
        <v>0</v>
      </c>
      <c r="T34" s="88">
        <f t="shared" si="20"/>
        <v>0</v>
      </c>
      <c r="U34" s="86">
        <f t="shared" si="21"/>
        <v>0</v>
      </c>
      <c r="V34" s="86">
        <f t="shared" si="22"/>
        <v>0</v>
      </c>
      <c r="W34" s="86">
        <f t="shared" si="23"/>
        <v>0</v>
      </c>
    </row>
    <row r="35" spans="1:23" ht="14.4" thickBot="1" x14ac:dyDescent="0.3">
      <c r="A35" s="137"/>
      <c r="B35" s="148" t="s">
        <v>7</v>
      </c>
      <c r="C35" s="153">
        <f t="shared" ref="C35:H35" si="24">SUM(C21:C25,C27:C34)</f>
        <v>352</v>
      </c>
      <c r="D35" s="101">
        <f t="shared" si="24"/>
        <v>0</v>
      </c>
      <c r="E35" s="154">
        <f t="shared" si="24"/>
        <v>0</v>
      </c>
      <c r="F35" s="153">
        <f t="shared" si="24"/>
        <v>172</v>
      </c>
      <c r="G35" s="101">
        <f t="shared" si="24"/>
        <v>4</v>
      </c>
      <c r="H35" s="154">
        <f t="shared" si="24"/>
        <v>78</v>
      </c>
      <c r="I35" s="153">
        <f>SUM(I21:I25,I27:I34)</f>
        <v>524</v>
      </c>
      <c r="J35" s="101">
        <f t="shared" ref="J35" si="25">SUM(J21:J25,J27:J34)</f>
        <v>4</v>
      </c>
      <c r="K35" s="154">
        <f>SUM(K21:K25,K27:K34)</f>
        <v>78</v>
      </c>
      <c r="L35" s="153">
        <f t="shared" ref="L35" si="26">SUM(L21:L25,L27:L34)</f>
        <v>289</v>
      </c>
      <c r="M35" s="101">
        <f t="shared" ref="M35" si="27">SUM(M21:M25,M27:M34)</f>
        <v>0</v>
      </c>
      <c r="N35" s="154">
        <f t="shared" ref="N35" si="28">SUM(N21:N25,N27:N34)</f>
        <v>1</v>
      </c>
      <c r="O35" s="153">
        <f t="shared" ref="O35" si="29">SUM(O21:O25,O27:O34)</f>
        <v>131</v>
      </c>
      <c r="P35" s="101">
        <f t="shared" ref="P35" si="30">SUM(P21:P25,P27:P34)</f>
        <v>0</v>
      </c>
      <c r="Q35" s="154">
        <f t="shared" ref="Q35" si="31">SUM(Q21:Q25,Q27:Q34)</f>
        <v>3</v>
      </c>
      <c r="R35" s="153">
        <f t="shared" ref="R35" si="32">SUM(R21:R25,R27:R34)</f>
        <v>420</v>
      </c>
      <c r="S35" s="101">
        <f t="shared" ref="S35" si="33">SUM(S21:S25,S27:S34)</f>
        <v>0</v>
      </c>
      <c r="T35" s="154">
        <f t="shared" ref="T35" si="34">SUM(T21:T25,T27:T34)</f>
        <v>4</v>
      </c>
      <c r="U35" s="149">
        <f t="shared" ref="U35" si="35">SUM(U21:U25,U27:U34)</f>
        <v>-104</v>
      </c>
      <c r="V35" s="100">
        <f t="shared" ref="V35" si="36">SUM(V21:V25,V27:V34)</f>
        <v>-4</v>
      </c>
      <c r="W35" s="100">
        <f t="shared" ref="W35" si="37">SUM(W21:W25,W27:W34)</f>
        <v>-74</v>
      </c>
    </row>
    <row r="36" spans="1:23" x14ac:dyDescent="0.25">
      <c r="A36" s="9"/>
      <c r="B36" s="9"/>
    </row>
    <row r="37" spans="1:23" x14ac:dyDescent="0.25">
      <c r="A37" s="9"/>
      <c r="B37"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BE4C5-416D-48CA-BF1D-821202DE8BF2}">
  <sheetPr>
    <tabColor theme="7"/>
    <pageSetUpPr fitToPage="1"/>
  </sheetPr>
  <dimension ref="A1:O109"/>
  <sheetViews>
    <sheetView showGridLines="0" tabSelected="1" zoomScale="85" zoomScaleNormal="85" workbookViewId="0">
      <pane ySplit="1" topLeftCell="A70" activePane="bottomLeft" state="frozen"/>
      <selection activeCell="M28" sqref="M28"/>
      <selection pane="bottomLeft" activeCell="B72" sqref="B72"/>
    </sheetView>
  </sheetViews>
  <sheetFormatPr defaultColWidth="8.6640625" defaultRowHeight="15" x14ac:dyDescent="0.3"/>
  <cols>
    <col min="1" max="1" width="4.33203125" style="174" bestFit="1" customWidth="1"/>
    <col min="2" max="2" width="63.5546875" style="174" customWidth="1"/>
    <col min="3" max="3" width="10.109375" style="191" customWidth="1"/>
    <col min="4" max="4" width="21" style="192" customWidth="1"/>
    <col min="5" max="7" width="10.109375" style="191" customWidth="1"/>
    <col min="8" max="8" width="25.88671875" style="192" customWidth="1"/>
    <col min="9" max="9" width="8.6640625" style="191"/>
    <col min="10" max="10" width="22.44140625" style="191" bestFit="1" customWidth="1"/>
    <col min="11" max="11" width="29.33203125" style="192" customWidth="1"/>
    <col min="12" max="12" width="14.5546875" style="191" customWidth="1"/>
    <col min="13" max="14" width="8.6640625" style="174"/>
    <col min="15" max="15" width="38.77734375" style="174" customWidth="1"/>
    <col min="16" max="16384" width="8.6640625" style="174"/>
  </cols>
  <sheetData>
    <row r="1" spans="1:15" s="169" customFormat="1" ht="93.6" x14ac:dyDescent="0.3">
      <c r="A1" s="164" t="s">
        <v>38</v>
      </c>
      <c r="B1" s="164" t="s">
        <v>39</v>
      </c>
      <c r="C1" s="165" t="s">
        <v>40</v>
      </c>
      <c r="D1" s="166" t="s">
        <v>41</v>
      </c>
      <c r="E1" s="165" t="s">
        <v>42</v>
      </c>
      <c r="F1" s="165" t="s">
        <v>43</v>
      </c>
      <c r="G1" s="167" t="s">
        <v>44</v>
      </c>
      <c r="H1" s="168" t="s">
        <v>45</v>
      </c>
      <c r="I1" s="167" t="s">
        <v>46</v>
      </c>
      <c r="J1" s="111" t="s">
        <v>47</v>
      </c>
      <c r="K1" s="112" t="s">
        <v>41</v>
      </c>
      <c r="L1" s="203" t="s">
        <v>1000</v>
      </c>
    </row>
    <row r="2" spans="1:15" ht="15.6" x14ac:dyDescent="0.3">
      <c r="A2" s="230" t="s">
        <v>48</v>
      </c>
      <c r="B2" s="171" t="s">
        <v>49</v>
      </c>
      <c r="C2" s="172"/>
      <c r="D2" s="173"/>
      <c r="E2" s="173"/>
      <c r="F2" s="173"/>
      <c r="G2" s="173"/>
      <c r="H2" s="173"/>
      <c r="I2" s="172"/>
      <c r="J2" s="172"/>
      <c r="K2" s="173"/>
      <c r="L2" s="172"/>
    </row>
    <row r="3" spans="1:15" ht="255" x14ac:dyDescent="0.3">
      <c r="A3" s="230"/>
      <c r="B3" s="170" t="s">
        <v>50</v>
      </c>
      <c r="C3" s="175" t="s">
        <v>35</v>
      </c>
      <c r="D3" s="176"/>
      <c r="E3" s="175" t="s">
        <v>1</v>
      </c>
      <c r="F3" s="175" t="s">
        <v>2</v>
      </c>
      <c r="G3" s="177" t="s">
        <v>1</v>
      </c>
      <c r="H3" s="178"/>
      <c r="I3" s="177" t="s">
        <v>9</v>
      </c>
      <c r="J3" s="179" t="s">
        <v>35</v>
      </c>
      <c r="K3" s="180"/>
      <c r="L3" s="179" t="s">
        <v>1001</v>
      </c>
      <c r="O3" s="174" t="s">
        <v>1006</v>
      </c>
    </row>
    <row r="4" spans="1:15" ht="15.6" x14ac:dyDescent="0.3">
      <c r="A4" s="230" t="s">
        <v>51</v>
      </c>
      <c r="B4" s="171" t="s">
        <v>52</v>
      </c>
      <c r="C4" s="172"/>
      <c r="D4" s="173"/>
      <c r="E4" s="173"/>
      <c r="F4" s="173"/>
      <c r="G4" s="173"/>
      <c r="H4" s="173"/>
      <c r="I4" s="172"/>
      <c r="J4" s="172"/>
      <c r="K4" s="173"/>
      <c r="L4" s="172"/>
    </row>
    <row r="5" spans="1:15" ht="90" x14ac:dyDescent="0.3">
      <c r="A5" s="230"/>
      <c r="B5" s="170" t="s">
        <v>53</v>
      </c>
      <c r="C5" s="175" t="s">
        <v>35</v>
      </c>
      <c r="D5" s="176"/>
      <c r="E5" s="175" t="s">
        <v>1</v>
      </c>
      <c r="F5" s="175" t="s">
        <v>2</v>
      </c>
      <c r="G5" s="177" t="s">
        <v>1</v>
      </c>
      <c r="H5" s="178"/>
      <c r="I5" s="177" t="s">
        <v>9</v>
      </c>
      <c r="J5" s="179" t="s">
        <v>35</v>
      </c>
      <c r="K5" s="180" t="s">
        <v>54</v>
      </c>
      <c r="L5" s="179" t="s">
        <v>35</v>
      </c>
    </row>
    <row r="6" spans="1:15" ht="15.6" x14ac:dyDescent="0.3">
      <c r="A6" s="230" t="s">
        <v>55</v>
      </c>
      <c r="B6" s="171" t="s">
        <v>56</v>
      </c>
      <c r="C6" s="172"/>
      <c r="D6" s="173"/>
      <c r="E6" s="173"/>
      <c r="F6" s="173"/>
      <c r="G6" s="173"/>
      <c r="H6" s="173"/>
      <c r="I6" s="172"/>
      <c r="J6" s="172"/>
      <c r="K6" s="173"/>
      <c r="L6" s="172"/>
    </row>
    <row r="7" spans="1:15" ht="90" x14ac:dyDescent="0.3">
      <c r="A7" s="230"/>
      <c r="B7" s="170" t="s">
        <v>57</v>
      </c>
      <c r="C7" s="175" t="s">
        <v>35</v>
      </c>
      <c r="D7" s="176"/>
      <c r="E7" s="175" t="s">
        <v>1</v>
      </c>
      <c r="F7" s="175" t="s">
        <v>2</v>
      </c>
      <c r="G7" s="177" t="s">
        <v>1</v>
      </c>
      <c r="H7" s="178"/>
      <c r="I7" s="177" t="s">
        <v>9</v>
      </c>
      <c r="J7" s="179" t="s">
        <v>35</v>
      </c>
      <c r="K7" s="180" t="s">
        <v>54</v>
      </c>
      <c r="L7" s="179" t="s">
        <v>35</v>
      </c>
    </row>
    <row r="8" spans="1:15" ht="75" x14ac:dyDescent="0.3">
      <c r="A8" s="230"/>
      <c r="B8" s="170" t="s">
        <v>58</v>
      </c>
      <c r="C8" s="175" t="s">
        <v>35</v>
      </c>
      <c r="D8" s="176"/>
      <c r="E8" s="175" t="s">
        <v>1</v>
      </c>
      <c r="F8" s="175" t="s">
        <v>2</v>
      </c>
      <c r="G8" s="177" t="s">
        <v>1</v>
      </c>
      <c r="H8" s="178"/>
      <c r="I8" s="177" t="s">
        <v>9</v>
      </c>
      <c r="J8" s="179" t="s">
        <v>35</v>
      </c>
      <c r="K8" s="180" t="s">
        <v>59</v>
      </c>
      <c r="L8" s="179" t="s">
        <v>35</v>
      </c>
    </row>
    <row r="9" spans="1:15" ht="75" x14ac:dyDescent="0.3">
      <c r="A9" s="230"/>
      <c r="B9" s="170" t="s">
        <v>60</v>
      </c>
      <c r="C9" s="175" t="s">
        <v>35</v>
      </c>
      <c r="D9" s="176" t="s">
        <v>61</v>
      </c>
      <c r="E9" s="175" t="s">
        <v>1</v>
      </c>
      <c r="F9" s="175" t="s">
        <v>2</v>
      </c>
      <c r="G9" s="177" t="s">
        <v>1</v>
      </c>
      <c r="H9" s="178"/>
      <c r="I9" s="177" t="s">
        <v>9</v>
      </c>
      <c r="J9" s="179" t="s">
        <v>35</v>
      </c>
      <c r="K9" s="180" t="s">
        <v>62</v>
      </c>
      <c r="L9" s="179" t="s">
        <v>35</v>
      </c>
    </row>
    <row r="10" spans="1:15" ht="15.6" x14ac:dyDescent="0.3">
      <c r="A10" s="230" t="s">
        <v>63</v>
      </c>
      <c r="B10" s="171" t="s">
        <v>64</v>
      </c>
      <c r="C10" s="172"/>
      <c r="D10" s="173"/>
      <c r="E10" s="173"/>
      <c r="F10" s="173"/>
      <c r="G10" s="173"/>
      <c r="H10" s="173"/>
      <c r="I10" s="172"/>
      <c r="J10" s="172"/>
      <c r="K10" s="173"/>
      <c r="L10" s="172"/>
    </row>
    <row r="11" spans="1:15" ht="60" x14ac:dyDescent="0.3">
      <c r="A11" s="230"/>
      <c r="B11" s="170" t="s">
        <v>65</v>
      </c>
      <c r="C11" s="175" t="s">
        <v>35</v>
      </c>
      <c r="D11" s="176"/>
      <c r="E11" s="175" t="s">
        <v>1</v>
      </c>
      <c r="F11" s="175" t="s">
        <v>2</v>
      </c>
      <c r="G11" s="177" t="s">
        <v>1</v>
      </c>
      <c r="H11" s="178"/>
      <c r="I11" s="177" t="s">
        <v>9</v>
      </c>
      <c r="J11" s="179" t="s">
        <v>35</v>
      </c>
      <c r="K11" s="180"/>
      <c r="L11" s="179" t="s">
        <v>1001</v>
      </c>
    </row>
    <row r="12" spans="1:15" ht="75" x14ac:dyDescent="0.3">
      <c r="A12" s="230"/>
      <c r="B12" s="170" t="s">
        <v>66</v>
      </c>
      <c r="C12" s="175" t="s">
        <v>35</v>
      </c>
      <c r="D12" s="176"/>
      <c r="E12" s="175" t="s">
        <v>1</v>
      </c>
      <c r="F12" s="175" t="s">
        <v>2</v>
      </c>
      <c r="G12" s="177" t="s">
        <v>1</v>
      </c>
      <c r="H12" s="178"/>
      <c r="I12" s="177" t="s">
        <v>9</v>
      </c>
      <c r="J12" s="179" t="s">
        <v>35</v>
      </c>
      <c r="K12" s="180"/>
      <c r="L12" s="179" t="s">
        <v>35</v>
      </c>
    </row>
    <row r="13" spans="1:15" ht="75" x14ac:dyDescent="0.3">
      <c r="A13" s="230"/>
      <c r="B13" s="170" t="s">
        <v>67</v>
      </c>
      <c r="C13" s="175" t="s">
        <v>35</v>
      </c>
      <c r="D13" s="176"/>
      <c r="E13" s="175" t="s">
        <v>1</v>
      </c>
      <c r="F13" s="175" t="s">
        <v>2</v>
      </c>
      <c r="G13" s="177" t="s">
        <v>1</v>
      </c>
      <c r="H13" s="178"/>
      <c r="I13" s="177" t="s">
        <v>9</v>
      </c>
      <c r="J13" s="179" t="s">
        <v>35</v>
      </c>
      <c r="K13" s="180"/>
      <c r="L13" s="179" t="s">
        <v>1001</v>
      </c>
    </row>
    <row r="14" spans="1:15" ht="15.6" x14ac:dyDescent="0.3">
      <c r="A14" s="230" t="s">
        <v>68</v>
      </c>
      <c r="B14" s="171" t="s">
        <v>69</v>
      </c>
      <c r="C14" s="172"/>
      <c r="D14" s="173"/>
      <c r="E14" s="173"/>
      <c r="F14" s="173"/>
      <c r="G14" s="173"/>
      <c r="H14" s="173"/>
      <c r="I14" s="172"/>
      <c r="J14" s="172"/>
      <c r="K14" s="173"/>
      <c r="L14" s="172"/>
    </row>
    <row r="15" spans="1:15" ht="135" x14ac:dyDescent="0.3">
      <c r="A15" s="230"/>
      <c r="B15" s="170" t="s">
        <v>70</v>
      </c>
      <c r="C15" s="175" t="s">
        <v>35</v>
      </c>
      <c r="D15" s="176" t="s">
        <v>71</v>
      </c>
      <c r="E15" s="175" t="s">
        <v>1</v>
      </c>
      <c r="F15" s="175" t="s">
        <v>2</v>
      </c>
      <c r="G15" s="177" t="s">
        <v>1</v>
      </c>
      <c r="H15" s="178"/>
      <c r="I15" s="177" t="s">
        <v>9</v>
      </c>
      <c r="J15" s="179" t="s">
        <v>35</v>
      </c>
      <c r="K15" s="180"/>
      <c r="L15" s="179" t="s">
        <v>1001</v>
      </c>
    </row>
    <row r="16" spans="1:15" ht="15.6" x14ac:dyDescent="0.3">
      <c r="A16" s="230" t="s">
        <v>72</v>
      </c>
      <c r="B16" s="181" t="s">
        <v>73</v>
      </c>
      <c r="C16" s="172"/>
      <c r="D16" s="173"/>
      <c r="E16" s="173"/>
      <c r="F16" s="173"/>
      <c r="G16" s="173"/>
      <c r="H16" s="173"/>
      <c r="I16" s="172"/>
      <c r="J16" s="172"/>
      <c r="K16" s="173"/>
      <c r="L16" s="172"/>
    </row>
    <row r="17" spans="1:12" ht="30" x14ac:dyDescent="0.3">
      <c r="A17" s="230"/>
      <c r="B17" s="170" t="s">
        <v>74</v>
      </c>
      <c r="C17" s="175" t="s">
        <v>35</v>
      </c>
      <c r="D17" s="176"/>
      <c r="E17" s="175" t="s">
        <v>1</v>
      </c>
      <c r="F17" s="175" t="s">
        <v>2</v>
      </c>
      <c r="G17" s="177" t="s">
        <v>1</v>
      </c>
      <c r="H17" s="178"/>
      <c r="I17" s="177" t="s">
        <v>9</v>
      </c>
      <c r="J17" s="179" t="s">
        <v>35</v>
      </c>
      <c r="K17" s="180"/>
      <c r="L17" s="179" t="s">
        <v>1001</v>
      </c>
    </row>
    <row r="18" spans="1:12" ht="30.6" x14ac:dyDescent="0.3">
      <c r="A18" s="230" t="s">
        <v>75</v>
      </c>
      <c r="B18" s="171" t="s">
        <v>76</v>
      </c>
      <c r="C18" s="172"/>
      <c r="D18" s="173"/>
      <c r="E18" s="173"/>
      <c r="F18" s="173"/>
      <c r="G18" s="173"/>
      <c r="H18" s="173"/>
      <c r="I18" s="172"/>
      <c r="J18" s="172"/>
      <c r="K18" s="173"/>
      <c r="L18" s="172"/>
    </row>
    <row r="19" spans="1:12" ht="60" x14ac:dyDescent="0.3">
      <c r="A19" s="230"/>
      <c r="B19" s="170" t="s">
        <v>77</v>
      </c>
      <c r="C19" s="175" t="s">
        <v>35</v>
      </c>
      <c r="D19" s="176" t="s">
        <v>78</v>
      </c>
      <c r="E19" s="175" t="s">
        <v>1</v>
      </c>
      <c r="F19" s="175" t="s">
        <v>2</v>
      </c>
      <c r="G19" s="177" t="s">
        <v>2</v>
      </c>
      <c r="H19" s="178" t="s">
        <v>1007</v>
      </c>
      <c r="I19" s="177" t="s">
        <v>9</v>
      </c>
      <c r="J19" s="179" t="s">
        <v>35</v>
      </c>
      <c r="K19" s="180"/>
      <c r="L19" s="179" t="s">
        <v>1001</v>
      </c>
    </row>
    <row r="20" spans="1:12" ht="15.6" x14ac:dyDescent="0.3">
      <c r="A20" s="230" t="s">
        <v>79</v>
      </c>
      <c r="B20" s="171" t="s">
        <v>80</v>
      </c>
      <c r="C20" s="172"/>
      <c r="D20" s="173"/>
      <c r="E20" s="173"/>
      <c r="F20" s="173"/>
      <c r="G20" s="173"/>
      <c r="H20" s="173"/>
      <c r="I20" s="172"/>
      <c r="J20" s="172"/>
      <c r="K20" s="173"/>
      <c r="L20" s="172"/>
    </row>
    <row r="21" spans="1:12" ht="45" x14ac:dyDescent="0.3">
      <c r="A21" s="230"/>
      <c r="B21" s="176" t="s">
        <v>81</v>
      </c>
      <c r="C21" s="175" t="s">
        <v>35</v>
      </c>
      <c r="D21" s="176"/>
      <c r="E21" s="175" t="s">
        <v>1</v>
      </c>
      <c r="F21" s="175" t="s">
        <v>2</v>
      </c>
      <c r="G21" s="177" t="s">
        <v>2</v>
      </c>
      <c r="H21" s="178"/>
      <c r="I21" s="177" t="s">
        <v>9</v>
      </c>
      <c r="J21" s="179" t="s">
        <v>35</v>
      </c>
      <c r="K21" s="180"/>
      <c r="L21" s="179" t="s">
        <v>1001</v>
      </c>
    </row>
    <row r="22" spans="1:12" ht="15.6" x14ac:dyDescent="0.3">
      <c r="A22" s="230" t="s">
        <v>82</v>
      </c>
      <c r="B22" s="181" t="s">
        <v>83</v>
      </c>
      <c r="C22" s="172"/>
      <c r="D22" s="173"/>
      <c r="E22" s="173"/>
      <c r="F22" s="173"/>
      <c r="G22" s="173"/>
      <c r="H22" s="173"/>
      <c r="I22" s="172"/>
      <c r="J22" s="172"/>
      <c r="K22" s="173"/>
      <c r="L22" s="172"/>
    </row>
    <row r="23" spans="1:12" ht="60" x14ac:dyDescent="0.3">
      <c r="A23" s="230"/>
      <c r="B23" s="176" t="s">
        <v>84</v>
      </c>
      <c r="C23" s="175" t="s">
        <v>35</v>
      </c>
      <c r="D23" s="176"/>
      <c r="E23" s="175" t="s">
        <v>1</v>
      </c>
      <c r="F23" s="175" t="s">
        <v>2</v>
      </c>
      <c r="G23" s="177" t="s">
        <v>1</v>
      </c>
      <c r="H23" s="178"/>
      <c r="I23" s="177" t="s">
        <v>9</v>
      </c>
      <c r="J23" s="179" t="s">
        <v>35</v>
      </c>
      <c r="K23" s="180"/>
      <c r="L23" s="179" t="s">
        <v>1001</v>
      </c>
    </row>
    <row r="24" spans="1:12" ht="15.6" x14ac:dyDescent="0.3">
      <c r="A24" s="230" t="s">
        <v>85</v>
      </c>
      <c r="B24" s="171" t="s">
        <v>86</v>
      </c>
      <c r="C24" s="172"/>
      <c r="D24" s="173"/>
      <c r="E24" s="173"/>
      <c r="F24" s="173"/>
      <c r="G24" s="173"/>
      <c r="H24" s="173"/>
      <c r="I24" s="172"/>
      <c r="J24" s="172"/>
      <c r="K24" s="173"/>
      <c r="L24" s="172"/>
    </row>
    <row r="25" spans="1:12" ht="195" x14ac:dyDescent="0.3">
      <c r="A25" s="230"/>
      <c r="B25" s="176" t="s">
        <v>87</v>
      </c>
      <c r="C25" s="175" t="s">
        <v>35</v>
      </c>
      <c r="D25" s="176" t="s">
        <v>88</v>
      </c>
      <c r="E25" s="175" t="s">
        <v>2</v>
      </c>
      <c r="F25" s="175" t="s">
        <v>2</v>
      </c>
      <c r="G25" s="177" t="s">
        <v>2</v>
      </c>
      <c r="H25" s="178"/>
      <c r="I25" s="177" t="s">
        <v>9</v>
      </c>
      <c r="J25" s="179" t="s">
        <v>35</v>
      </c>
      <c r="K25" s="180" t="s">
        <v>88</v>
      </c>
      <c r="L25" s="179" t="s">
        <v>1001</v>
      </c>
    </row>
    <row r="26" spans="1:12" ht="15.6" x14ac:dyDescent="0.3">
      <c r="A26" s="230" t="s">
        <v>89</v>
      </c>
      <c r="B26" s="181" t="s">
        <v>90</v>
      </c>
      <c r="C26" s="172"/>
      <c r="D26" s="173"/>
      <c r="E26" s="173"/>
      <c r="F26" s="173"/>
      <c r="G26" s="173"/>
      <c r="H26" s="173"/>
      <c r="I26" s="172"/>
      <c r="J26" s="172"/>
      <c r="K26" s="173"/>
      <c r="L26" s="172"/>
    </row>
    <row r="27" spans="1:12" ht="135" x14ac:dyDescent="0.3">
      <c r="A27" s="230"/>
      <c r="B27" s="176" t="s">
        <v>91</v>
      </c>
      <c r="C27" s="175" t="s">
        <v>35</v>
      </c>
      <c r="D27" s="176"/>
      <c r="E27" s="175" t="s">
        <v>1</v>
      </c>
      <c r="F27" s="175" t="s">
        <v>2</v>
      </c>
      <c r="G27" s="177" t="s">
        <v>1</v>
      </c>
      <c r="H27" s="178" t="s">
        <v>92</v>
      </c>
      <c r="I27" s="177" t="s">
        <v>9</v>
      </c>
      <c r="J27" s="179" t="s">
        <v>35</v>
      </c>
      <c r="K27" s="180"/>
      <c r="L27" s="179" t="s">
        <v>1001</v>
      </c>
    </row>
    <row r="28" spans="1:12" ht="15.6" x14ac:dyDescent="0.3">
      <c r="A28" s="230" t="s">
        <v>93</v>
      </c>
      <c r="B28" s="171" t="s">
        <v>94</v>
      </c>
      <c r="C28" s="172"/>
      <c r="D28" s="173"/>
      <c r="E28" s="173"/>
      <c r="F28" s="173"/>
      <c r="G28" s="173"/>
      <c r="H28" s="173"/>
      <c r="I28" s="172"/>
      <c r="J28" s="172"/>
      <c r="K28" s="173"/>
      <c r="L28" s="172"/>
    </row>
    <row r="29" spans="1:12" ht="210" x14ac:dyDescent="0.3">
      <c r="A29" s="230"/>
      <c r="B29" s="176" t="s">
        <v>95</v>
      </c>
      <c r="C29" s="175" t="s">
        <v>35</v>
      </c>
      <c r="D29" s="176" t="s">
        <v>96</v>
      </c>
      <c r="E29" s="175" t="s">
        <v>1</v>
      </c>
      <c r="F29" s="175" t="s">
        <v>2</v>
      </c>
      <c r="G29" s="177" t="s">
        <v>1</v>
      </c>
      <c r="H29" s="178" t="s">
        <v>97</v>
      </c>
      <c r="I29" s="177" t="s">
        <v>9</v>
      </c>
      <c r="J29" s="179" t="s">
        <v>35</v>
      </c>
      <c r="K29" s="180"/>
      <c r="L29" s="179" t="s">
        <v>1001</v>
      </c>
    </row>
    <row r="30" spans="1:12" ht="30.6" x14ac:dyDescent="0.3">
      <c r="A30" s="230" t="s">
        <v>98</v>
      </c>
      <c r="B30" s="182" t="s">
        <v>99</v>
      </c>
      <c r="C30" s="172"/>
      <c r="D30" s="173"/>
      <c r="E30" s="173"/>
      <c r="F30" s="229" t="s">
        <v>100</v>
      </c>
      <c r="G30" s="173"/>
      <c r="H30" s="173"/>
      <c r="I30" s="172"/>
      <c r="J30" s="172"/>
      <c r="K30" s="173"/>
      <c r="L30" s="172"/>
    </row>
    <row r="31" spans="1:12" ht="15.6" x14ac:dyDescent="0.3">
      <c r="A31" s="230"/>
      <c r="B31" s="170" t="s">
        <v>101</v>
      </c>
      <c r="C31" s="175" t="s">
        <v>35</v>
      </c>
      <c r="D31" s="176"/>
      <c r="E31" s="175" t="s">
        <v>1</v>
      </c>
      <c r="F31" s="229"/>
      <c r="G31" s="177" t="s">
        <v>36</v>
      </c>
      <c r="H31" s="178" t="s">
        <v>102</v>
      </c>
      <c r="I31" s="177" t="s">
        <v>9</v>
      </c>
      <c r="J31" s="172"/>
      <c r="K31" s="172"/>
      <c r="L31" s="204" t="s">
        <v>1001</v>
      </c>
    </row>
    <row r="32" spans="1:12" ht="30" x14ac:dyDescent="0.3">
      <c r="A32" s="230"/>
      <c r="B32" s="170" t="s">
        <v>103</v>
      </c>
      <c r="C32" s="175" t="s">
        <v>35</v>
      </c>
      <c r="D32" s="176"/>
      <c r="E32" s="175" t="s">
        <v>2</v>
      </c>
      <c r="F32" s="229"/>
      <c r="G32" s="177" t="s">
        <v>36</v>
      </c>
      <c r="H32" s="178" t="s">
        <v>102</v>
      </c>
      <c r="I32" s="177" t="s">
        <v>9</v>
      </c>
      <c r="J32" s="172"/>
      <c r="K32" s="172"/>
      <c r="L32" s="204" t="s">
        <v>1001</v>
      </c>
    </row>
    <row r="33" spans="1:12" ht="15.6" x14ac:dyDescent="0.3">
      <c r="A33" s="230"/>
      <c r="B33" s="170" t="s">
        <v>104</v>
      </c>
      <c r="C33" s="175" t="s">
        <v>35</v>
      </c>
      <c r="D33" s="176"/>
      <c r="E33" s="175" t="s">
        <v>1</v>
      </c>
      <c r="F33" s="229"/>
      <c r="G33" s="177" t="s">
        <v>36</v>
      </c>
      <c r="H33" s="178" t="s">
        <v>102</v>
      </c>
      <c r="I33" s="177" t="s">
        <v>9</v>
      </c>
      <c r="J33" s="172"/>
      <c r="K33" s="172"/>
      <c r="L33" s="204" t="s">
        <v>1001</v>
      </c>
    </row>
    <row r="34" spans="1:12" ht="15.6" x14ac:dyDescent="0.3">
      <c r="A34" s="230"/>
      <c r="B34" s="170" t="s">
        <v>105</v>
      </c>
      <c r="C34" s="175" t="s">
        <v>35</v>
      </c>
      <c r="D34" s="176"/>
      <c r="E34" s="175" t="s">
        <v>1</v>
      </c>
      <c r="F34" s="229"/>
      <c r="G34" s="177" t="s">
        <v>36</v>
      </c>
      <c r="H34" s="178" t="s">
        <v>102</v>
      </c>
      <c r="I34" s="177" t="s">
        <v>9</v>
      </c>
      <c r="J34" s="172"/>
      <c r="K34" s="172"/>
      <c r="L34" s="204" t="s">
        <v>1001</v>
      </c>
    </row>
    <row r="35" spans="1:12" ht="30" x14ac:dyDescent="0.3">
      <c r="A35" s="230"/>
      <c r="B35" s="170" t="s">
        <v>106</v>
      </c>
      <c r="C35" s="175" t="s">
        <v>35</v>
      </c>
      <c r="D35" s="176"/>
      <c r="E35" s="175" t="s">
        <v>2</v>
      </c>
      <c r="F35" s="229"/>
      <c r="G35" s="177" t="s">
        <v>36</v>
      </c>
      <c r="H35" s="178" t="s">
        <v>102</v>
      </c>
      <c r="I35" s="177" t="s">
        <v>9</v>
      </c>
      <c r="J35" s="172"/>
      <c r="K35" s="172"/>
      <c r="L35" s="204" t="s">
        <v>1001</v>
      </c>
    </row>
    <row r="36" spans="1:12" ht="30" x14ac:dyDescent="0.3">
      <c r="A36" s="230"/>
      <c r="B36" s="170" t="s">
        <v>107</v>
      </c>
      <c r="C36" s="175" t="s">
        <v>35</v>
      </c>
      <c r="D36" s="176"/>
      <c r="E36" s="175" t="s">
        <v>2</v>
      </c>
      <c r="F36" s="229"/>
      <c r="G36" s="177" t="s">
        <v>36</v>
      </c>
      <c r="H36" s="178" t="s">
        <v>102</v>
      </c>
      <c r="I36" s="177" t="s">
        <v>9</v>
      </c>
      <c r="J36" s="172"/>
      <c r="K36" s="172"/>
      <c r="L36" s="204" t="s">
        <v>1001</v>
      </c>
    </row>
    <row r="37" spans="1:12" ht="45" x14ac:dyDescent="0.3">
      <c r="A37" s="230"/>
      <c r="B37" s="170" t="s">
        <v>108</v>
      </c>
      <c r="C37" s="175" t="s">
        <v>37</v>
      </c>
      <c r="D37" s="176" t="s">
        <v>109</v>
      </c>
      <c r="E37" s="175" t="s">
        <v>2</v>
      </c>
      <c r="F37" s="229"/>
      <c r="G37" s="177" t="s">
        <v>36</v>
      </c>
      <c r="H37" s="178" t="s">
        <v>102</v>
      </c>
      <c r="I37" s="177" t="s">
        <v>9</v>
      </c>
      <c r="J37" s="172"/>
      <c r="K37" s="172"/>
      <c r="L37" s="204" t="s">
        <v>1001</v>
      </c>
    </row>
    <row r="38" spans="1:12" ht="45" x14ac:dyDescent="0.3">
      <c r="A38" s="230"/>
      <c r="B38" s="170" t="s">
        <v>110</v>
      </c>
      <c r="C38" s="175" t="s">
        <v>35</v>
      </c>
      <c r="D38" s="176"/>
      <c r="E38" s="175" t="s">
        <v>2</v>
      </c>
      <c r="F38" s="229"/>
      <c r="G38" s="177" t="s">
        <v>36</v>
      </c>
      <c r="H38" s="178" t="s">
        <v>102</v>
      </c>
      <c r="I38" s="177" t="s">
        <v>9</v>
      </c>
      <c r="J38" s="172"/>
      <c r="K38" s="172"/>
      <c r="L38" s="204" t="s">
        <v>1001</v>
      </c>
    </row>
    <row r="39" spans="1:12" ht="30" x14ac:dyDescent="0.3">
      <c r="A39" s="230"/>
      <c r="B39" s="170" t="s">
        <v>111</v>
      </c>
      <c r="C39" s="175" t="s">
        <v>35</v>
      </c>
      <c r="D39" s="176"/>
      <c r="E39" s="175" t="s">
        <v>1</v>
      </c>
      <c r="F39" s="229"/>
      <c r="G39" s="177" t="s">
        <v>36</v>
      </c>
      <c r="H39" s="178" t="s">
        <v>102</v>
      </c>
      <c r="I39" s="177" t="s">
        <v>9</v>
      </c>
      <c r="J39" s="172"/>
      <c r="K39" s="172"/>
      <c r="L39" s="204" t="s">
        <v>1001</v>
      </c>
    </row>
    <row r="40" spans="1:12" ht="105" x14ac:dyDescent="0.3">
      <c r="A40" s="230"/>
      <c r="B40" s="170" t="s">
        <v>112</v>
      </c>
      <c r="C40" s="175" t="s">
        <v>37</v>
      </c>
      <c r="D40" s="176" t="s">
        <v>113</v>
      </c>
      <c r="E40" s="175" t="s">
        <v>2</v>
      </c>
      <c r="F40" s="229"/>
      <c r="G40" s="177" t="s">
        <v>36</v>
      </c>
      <c r="H40" s="178" t="s">
        <v>102</v>
      </c>
      <c r="I40" s="177" t="s">
        <v>9</v>
      </c>
      <c r="J40" s="172"/>
      <c r="K40" s="172"/>
      <c r="L40" s="204" t="s">
        <v>1001</v>
      </c>
    </row>
    <row r="41" spans="1:12" ht="60" x14ac:dyDescent="0.3">
      <c r="A41" s="230"/>
      <c r="B41" s="170" t="s">
        <v>114</v>
      </c>
      <c r="C41" s="175" t="s">
        <v>35</v>
      </c>
      <c r="D41" s="176"/>
      <c r="E41" s="175" t="s">
        <v>1</v>
      </c>
      <c r="F41" s="229"/>
      <c r="G41" s="177" t="s">
        <v>36</v>
      </c>
      <c r="H41" s="178" t="s">
        <v>115</v>
      </c>
      <c r="I41" s="177" t="s">
        <v>9</v>
      </c>
      <c r="J41" s="172"/>
      <c r="K41" s="172"/>
      <c r="L41" s="204" t="s">
        <v>1001</v>
      </c>
    </row>
    <row r="42" spans="1:12" ht="15.6" x14ac:dyDescent="0.3">
      <c r="A42" s="230" t="s">
        <v>116</v>
      </c>
      <c r="B42" s="171" t="s">
        <v>117</v>
      </c>
      <c r="C42" s="172"/>
      <c r="D42" s="173"/>
      <c r="E42" s="173"/>
      <c r="F42" s="173"/>
      <c r="G42" s="173"/>
      <c r="H42" s="173"/>
      <c r="I42" s="172"/>
      <c r="J42" s="172"/>
      <c r="K42" s="173"/>
      <c r="L42" s="172"/>
    </row>
    <row r="43" spans="1:12" ht="90" x14ac:dyDescent="0.3">
      <c r="A43" s="230"/>
      <c r="B43" s="170" t="s">
        <v>118</v>
      </c>
      <c r="C43" s="175" t="s">
        <v>35</v>
      </c>
      <c r="D43" s="176"/>
      <c r="E43" s="175" t="s">
        <v>1</v>
      </c>
      <c r="F43" s="175" t="s">
        <v>2</v>
      </c>
      <c r="G43" s="177" t="s">
        <v>1</v>
      </c>
      <c r="H43" s="178"/>
      <c r="I43" s="177" t="s">
        <v>9</v>
      </c>
      <c r="J43" s="179" t="s">
        <v>35</v>
      </c>
      <c r="K43" s="180"/>
      <c r="L43" s="179" t="s">
        <v>1001</v>
      </c>
    </row>
    <row r="44" spans="1:12" ht="15.6" x14ac:dyDescent="0.3">
      <c r="A44" s="230" t="s">
        <v>119</v>
      </c>
      <c r="B44" s="171" t="s">
        <v>120</v>
      </c>
      <c r="C44" s="172"/>
      <c r="D44" s="173"/>
      <c r="E44" s="173"/>
      <c r="F44" s="173"/>
      <c r="G44" s="173"/>
      <c r="H44" s="173"/>
      <c r="I44" s="172"/>
      <c r="J44" s="172"/>
      <c r="K44" s="173"/>
      <c r="L44" s="172"/>
    </row>
    <row r="45" spans="1:12" ht="90" x14ac:dyDescent="0.3">
      <c r="A45" s="230"/>
      <c r="B45" s="170" t="s">
        <v>121</v>
      </c>
      <c r="C45" s="175" t="s">
        <v>35</v>
      </c>
      <c r="D45" s="176" t="s">
        <v>122</v>
      </c>
      <c r="E45" s="175" t="s">
        <v>1</v>
      </c>
      <c r="F45" s="175" t="s">
        <v>2</v>
      </c>
      <c r="G45" s="177" t="s">
        <v>1</v>
      </c>
      <c r="H45" s="178"/>
      <c r="I45" s="177" t="s">
        <v>9</v>
      </c>
      <c r="J45" s="179" t="s">
        <v>35</v>
      </c>
      <c r="K45" s="180"/>
      <c r="L45" s="179" t="s">
        <v>1001</v>
      </c>
    </row>
    <row r="46" spans="1:12" ht="60.6" x14ac:dyDescent="0.3">
      <c r="A46" s="230" t="s">
        <v>123</v>
      </c>
      <c r="B46" s="171" t="s">
        <v>124</v>
      </c>
      <c r="C46" s="172"/>
      <c r="D46" s="173"/>
      <c r="E46" s="173"/>
      <c r="F46" s="173"/>
      <c r="G46" s="173"/>
      <c r="H46" s="173"/>
      <c r="I46" s="172"/>
      <c r="J46" s="172"/>
      <c r="K46" s="173"/>
      <c r="L46" s="172"/>
    </row>
    <row r="47" spans="1:12" ht="180" x14ac:dyDescent="0.3">
      <c r="A47" s="230"/>
      <c r="B47" s="170" t="s">
        <v>125</v>
      </c>
      <c r="C47" s="175" t="s">
        <v>35</v>
      </c>
      <c r="D47" s="176" t="s">
        <v>126</v>
      </c>
      <c r="E47" s="175" t="s">
        <v>2</v>
      </c>
      <c r="F47" s="175" t="s">
        <v>2</v>
      </c>
      <c r="G47" s="177" t="s">
        <v>36</v>
      </c>
      <c r="H47" s="178" t="s">
        <v>127</v>
      </c>
      <c r="I47" s="177" t="s">
        <v>9</v>
      </c>
      <c r="J47" s="179"/>
      <c r="K47" s="180"/>
      <c r="L47" s="179" t="s">
        <v>1001</v>
      </c>
    </row>
    <row r="48" spans="1:12" ht="93.6" x14ac:dyDescent="0.25">
      <c r="A48" s="183"/>
      <c r="B48" s="184" t="s">
        <v>128</v>
      </c>
      <c r="C48" s="185" t="s">
        <v>40</v>
      </c>
      <c r="D48" s="186" t="s">
        <v>41</v>
      </c>
      <c r="E48" s="187"/>
      <c r="F48" s="188"/>
      <c r="G48" s="188"/>
      <c r="H48" s="189"/>
      <c r="I48" s="188"/>
      <c r="J48" s="188"/>
      <c r="K48" s="189"/>
      <c r="L48" s="188"/>
    </row>
    <row r="49" spans="1:12" ht="45" x14ac:dyDescent="0.3">
      <c r="A49" s="175" t="s">
        <v>129</v>
      </c>
      <c r="B49" s="170" t="s">
        <v>130</v>
      </c>
      <c r="C49" s="175" t="s">
        <v>35</v>
      </c>
      <c r="D49" s="170"/>
      <c r="E49" s="175" t="s">
        <v>1</v>
      </c>
      <c r="F49" s="175"/>
      <c r="G49" s="177" t="s">
        <v>1</v>
      </c>
      <c r="H49" s="178"/>
      <c r="I49" s="177" t="s">
        <v>9</v>
      </c>
      <c r="J49" s="179" t="s">
        <v>35</v>
      </c>
      <c r="K49" s="180"/>
      <c r="L49" s="179" t="s">
        <v>1001</v>
      </c>
    </row>
    <row r="50" spans="1:12" ht="75" x14ac:dyDescent="0.3">
      <c r="A50" s="175" t="s">
        <v>131</v>
      </c>
      <c r="B50" s="170" t="s">
        <v>132</v>
      </c>
      <c r="C50" s="175" t="s">
        <v>35</v>
      </c>
      <c r="D50" s="170"/>
      <c r="E50" s="175" t="s">
        <v>1</v>
      </c>
      <c r="F50" s="175"/>
      <c r="G50" s="177" t="s">
        <v>36</v>
      </c>
      <c r="H50" s="178" t="s">
        <v>133</v>
      </c>
      <c r="I50" s="177" t="s">
        <v>9</v>
      </c>
      <c r="J50" s="172"/>
      <c r="K50" s="172"/>
      <c r="L50" s="172" t="s">
        <v>1001</v>
      </c>
    </row>
    <row r="51" spans="1:12" ht="30" x14ac:dyDescent="0.3">
      <c r="A51" s="175" t="s">
        <v>134</v>
      </c>
      <c r="B51" s="170" t="s">
        <v>135</v>
      </c>
      <c r="C51" s="175" t="s">
        <v>35</v>
      </c>
      <c r="D51" s="170"/>
      <c r="E51" s="175" t="s">
        <v>1</v>
      </c>
      <c r="F51" s="175"/>
      <c r="G51" s="177" t="s">
        <v>36</v>
      </c>
      <c r="H51" s="178" t="s">
        <v>136</v>
      </c>
      <c r="I51" s="177" t="s">
        <v>9</v>
      </c>
      <c r="J51" s="172"/>
      <c r="K51" s="172"/>
      <c r="L51" s="172" t="s">
        <v>1001</v>
      </c>
    </row>
    <row r="52" spans="1:12" ht="60" x14ac:dyDescent="0.3">
      <c r="A52" s="175" t="s">
        <v>137</v>
      </c>
      <c r="B52" s="170" t="s">
        <v>138</v>
      </c>
      <c r="C52" s="175" t="s">
        <v>35</v>
      </c>
      <c r="D52" s="170"/>
      <c r="E52" s="175" t="s">
        <v>1</v>
      </c>
      <c r="F52" s="175"/>
      <c r="G52" s="177" t="s">
        <v>1</v>
      </c>
      <c r="H52" s="178"/>
      <c r="I52" s="177" t="s">
        <v>9</v>
      </c>
      <c r="J52" s="179" t="s">
        <v>35</v>
      </c>
      <c r="K52" s="180"/>
      <c r="L52" s="179"/>
    </row>
    <row r="53" spans="1:12" ht="93.6" x14ac:dyDescent="0.25">
      <c r="A53" s="183"/>
      <c r="B53" s="184" t="s">
        <v>139</v>
      </c>
      <c r="C53" s="185" t="s">
        <v>40</v>
      </c>
      <c r="D53" s="186" t="s">
        <v>41</v>
      </c>
      <c r="E53" s="187"/>
      <c r="F53" s="188"/>
      <c r="G53" s="188"/>
      <c r="H53" s="189"/>
      <c r="I53" s="188"/>
      <c r="J53" s="188"/>
      <c r="K53" s="189"/>
      <c r="L53" s="188"/>
    </row>
    <row r="54" spans="1:12" ht="135" x14ac:dyDescent="0.3">
      <c r="A54" s="175" t="s">
        <v>48</v>
      </c>
      <c r="B54" s="170" t="s">
        <v>140</v>
      </c>
      <c r="C54" s="175" t="s">
        <v>35</v>
      </c>
      <c r="D54" s="170" t="s">
        <v>141</v>
      </c>
      <c r="E54" s="175" t="s">
        <v>1</v>
      </c>
      <c r="F54" s="175"/>
      <c r="G54" s="177" t="s">
        <v>1</v>
      </c>
      <c r="H54" s="178" t="s">
        <v>142</v>
      </c>
      <c r="I54" s="177" t="s">
        <v>9</v>
      </c>
      <c r="J54" s="179" t="s">
        <v>35</v>
      </c>
      <c r="K54" s="180"/>
      <c r="L54" s="179" t="s">
        <v>1001</v>
      </c>
    </row>
    <row r="55" spans="1:12" ht="60" x14ac:dyDescent="0.3">
      <c r="A55" s="175" t="s">
        <v>131</v>
      </c>
      <c r="B55" s="170" t="s">
        <v>143</v>
      </c>
      <c r="C55" s="175" t="s">
        <v>35</v>
      </c>
      <c r="D55" s="170"/>
      <c r="E55" s="175" t="s">
        <v>1</v>
      </c>
      <c r="F55" s="175"/>
      <c r="G55" s="177" t="s">
        <v>36</v>
      </c>
      <c r="H55" s="178" t="s">
        <v>144</v>
      </c>
      <c r="I55" s="177" t="s">
        <v>9</v>
      </c>
      <c r="J55" s="172"/>
      <c r="K55" s="172"/>
      <c r="L55" s="172" t="s">
        <v>1001</v>
      </c>
    </row>
    <row r="56" spans="1:12" ht="60" x14ac:dyDescent="0.3">
      <c r="A56" s="175" t="s">
        <v>55</v>
      </c>
      <c r="B56" s="170" t="s">
        <v>1008</v>
      </c>
      <c r="C56" s="175" t="s">
        <v>35</v>
      </c>
      <c r="D56" s="170"/>
      <c r="E56" s="175" t="s">
        <v>1</v>
      </c>
      <c r="F56" s="175"/>
      <c r="G56" s="177" t="s">
        <v>1</v>
      </c>
      <c r="H56" s="178"/>
      <c r="I56" s="177" t="s">
        <v>9</v>
      </c>
      <c r="J56" s="179" t="s">
        <v>35</v>
      </c>
      <c r="K56" s="180"/>
      <c r="L56" s="179" t="s">
        <v>1001</v>
      </c>
    </row>
    <row r="57" spans="1:12" ht="45" x14ac:dyDescent="0.3">
      <c r="A57" s="175" t="s">
        <v>63</v>
      </c>
      <c r="B57" s="170" t="s">
        <v>145</v>
      </c>
      <c r="C57" s="175" t="s">
        <v>35</v>
      </c>
      <c r="D57" s="170"/>
      <c r="E57" s="175" t="s">
        <v>1</v>
      </c>
      <c r="F57" s="175"/>
      <c r="G57" s="177" t="s">
        <v>1</v>
      </c>
      <c r="H57" s="178"/>
      <c r="I57" s="177" t="s">
        <v>9</v>
      </c>
      <c r="J57" s="179" t="s">
        <v>35</v>
      </c>
      <c r="K57" s="180"/>
      <c r="L57" s="179" t="s">
        <v>1001</v>
      </c>
    </row>
    <row r="58" spans="1:12" ht="45" x14ac:dyDescent="0.3">
      <c r="A58" s="175" t="s">
        <v>146</v>
      </c>
      <c r="B58" s="190" t="s">
        <v>147</v>
      </c>
      <c r="C58" s="175" t="s">
        <v>35</v>
      </c>
      <c r="D58" s="170"/>
      <c r="E58" s="175" t="s">
        <v>1</v>
      </c>
      <c r="F58" s="175"/>
      <c r="G58" s="177" t="s">
        <v>36</v>
      </c>
      <c r="H58" s="178" t="s">
        <v>148</v>
      </c>
      <c r="I58" s="177" t="s">
        <v>9</v>
      </c>
      <c r="J58" s="172"/>
      <c r="K58" s="172"/>
      <c r="L58" s="172" t="s">
        <v>1001</v>
      </c>
    </row>
    <row r="59" spans="1:12" ht="30" x14ac:dyDescent="0.3">
      <c r="A59" s="175" t="s">
        <v>149</v>
      </c>
      <c r="B59" s="190" t="s">
        <v>150</v>
      </c>
      <c r="C59" s="175" t="s">
        <v>35</v>
      </c>
      <c r="D59" s="170"/>
      <c r="E59" s="175" t="s">
        <v>1</v>
      </c>
      <c r="F59" s="175"/>
      <c r="G59" s="177" t="s">
        <v>36</v>
      </c>
      <c r="H59" s="178" t="s">
        <v>148</v>
      </c>
      <c r="I59" s="177" t="s">
        <v>9</v>
      </c>
      <c r="J59" s="172"/>
      <c r="K59" s="172"/>
      <c r="L59" s="172" t="s">
        <v>1001</v>
      </c>
    </row>
    <row r="60" spans="1:12" ht="45" x14ac:dyDescent="0.3">
      <c r="A60" s="175" t="s">
        <v>151</v>
      </c>
      <c r="B60" s="236" t="s">
        <v>152</v>
      </c>
      <c r="C60" s="175" t="s">
        <v>35</v>
      </c>
      <c r="D60" s="170"/>
      <c r="E60" s="175" t="s">
        <v>1</v>
      </c>
      <c r="F60" s="175"/>
      <c r="G60" s="177" t="s">
        <v>1</v>
      </c>
      <c r="H60" s="178" t="s">
        <v>1009</v>
      </c>
      <c r="I60" s="177" t="s">
        <v>9</v>
      </c>
      <c r="J60" s="179" t="s">
        <v>35</v>
      </c>
      <c r="K60" s="180"/>
      <c r="L60" s="179" t="s">
        <v>1001</v>
      </c>
    </row>
    <row r="61" spans="1:12" ht="30" x14ac:dyDescent="0.3">
      <c r="A61" s="175" t="s">
        <v>153</v>
      </c>
      <c r="B61" s="190" t="s">
        <v>154</v>
      </c>
      <c r="C61" s="175" t="s">
        <v>35</v>
      </c>
      <c r="D61" s="170"/>
      <c r="E61" s="175" t="s">
        <v>1</v>
      </c>
      <c r="F61" s="175"/>
      <c r="G61" s="177" t="s">
        <v>1</v>
      </c>
      <c r="H61" s="178" t="s">
        <v>1010</v>
      </c>
      <c r="I61" s="177" t="s">
        <v>9</v>
      </c>
      <c r="J61" s="179" t="s">
        <v>35</v>
      </c>
      <c r="K61" s="180"/>
      <c r="L61" s="179" t="s">
        <v>1001</v>
      </c>
    </row>
    <row r="62" spans="1:12" ht="45" x14ac:dyDescent="0.3">
      <c r="A62" s="175" t="s">
        <v>155</v>
      </c>
      <c r="B62" s="190" t="s">
        <v>156</v>
      </c>
      <c r="C62" s="175" t="s">
        <v>35</v>
      </c>
      <c r="D62" s="170"/>
      <c r="E62" s="175" t="s">
        <v>1</v>
      </c>
      <c r="F62" s="175"/>
      <c r="G62" s="177" t="s">
        <v>1</v>
      </c>
      <c r="H62" s="178" t="s">
        <v>1010</v>
      </c>
      <c r="I62" s="177" t="s">
        <v>9</v>
      </c>
      <c r="J62" s="179" t="s">
        <v>35</v>
      </c>
      <c r="K62" s="180"/>
      <c r="L62" s="179" t="s">
        <v>1001</v>
      </c>
    </row>
    <row r="63" spans="1:12" ht="30" x14ac:dyDescent="0.3">
      <c r="A63" s="175" t="s">
        <v>157</v>
      </c>
      <c r="B63" s="190" t="s">
        <v>158</v>
      </c>
      <c r="C63" s="175" t="s">
        <v>35</v>
      </c>
      <c r="D63" s="170"/>
      <c r="E63" s="175" t="s">
        <v>1</v>
      </c>
      <c r="F63" s="175"/>
      <c r="G63" s="177" t="s">
        <v>1</v>
      </c>
      <c r="H63" s="178" t="s">
        <v>1011</v>
      </c>
      <c r="I63" s="177" t="s">
        <v>9</v>
      </c>
      <c r="J63" s="179" t="s">
        <v>35</v>
      </c>
      <c r="K63" s="180"/>
      <c r="L63" s="179" t="s">
        <v>1001</v>
      </c>
    </row>
    <row r="64" spans="1:12" ht="30" x14ac:dyDescent="0.3">
      <c r="A64" s="175" t="s">
        <v>159</v>
      </c>
      <c r="B64" s="190" t="s">
        <v>160</v>
      </c>
      <c r="C64" s="175" t="s">
        <v>35</v>
      </c>
      <c r="D64" s="170"/>
      <c r="E64" s="175" t="s">
        <v>1</v>
      </c>
      <c r="F64" s="175"/>
      <c r="G64" s="177" t="s">
        <v>1</v>
      </c>
      <c r="H64" s="178" t="s">
        <v>1011</v>
      </c>
      <c r="I64" s="177" t="s">
        <v>9</v>
      </c>
      <c r="J64" s="179" t="s">
        <v>35</v>
      </c>
      <c r="K64" s="180"/>
      <c r="L64" s="179" t="s">
        <v>1001</v>
      </c>
    </row>
    <row r="65" spans="1:13" ht="45" x14ac:dyDescent="0.3">
      <c r="A65" s="175" t="s">
        <v>161</v>
      </c>
      <c r="B65" s="190" t="s">
        <v>162</v>
      </c>
      <c r="C65" s="175" t="s">
        <v>35</v>
      </c>
      <c r="D65" s="170"/>
      <c r="E65" s="175" t="s">
        <v>1</v>
      </c>
      <c r="F65" s="175"/>
      <c r="G65" s="177" t="s">
        <v>36</v>
      </c>
      <c r="H65" s="178" t="s">
        <v>163</v>
      </c>
      <c r="I65" s="177" t="s">
        <v>9</v>
      </c>
      <c r="J65" s="172"/>
      <c r="K65" s="172"/>
      <c r="L65" s="172" t="s">
        <v>1001</v>
      </c>
      <c r="M65" s="174" t="s">
        <v>1002</v>
      </c>
    </row>
    <row r="66" spans="1:13" ht="30" x14ac:dyDescent="0.3">
      <c r="A66" s="175" t="s">
        <v>164</v>
      </c>
      <c r="B66" s="190" t="s">
        <v>165</v>
      </c>
      <c r="C66" s="175" t="s">
        <v>35</v>
      </c>
      <c r="D66" s="170"/>
      <c r="E66" s="175" t="s">
        <v>1</v>
      </c>
      <c r="F66" s="175"/>
      <c r="G66" s="177" t="s">
        <v>36</v>
      </c>
      <c r="H66" s="178" t="s">
        <v>166</v>
      </c>
      <c r="I66" s="177" t="s">
        <v>9</v>
      </c>
      <c r="J66" s="172"/>
      <c r="K66" s="172"/>
      <c r="L66" s="172" t="s">
        <v>1001</v>
      </c>
    </row>
    <row r="67" spans="1:13" ht="30" x14ac:dyDescent="0.3">
      <c r="A67" s="175" t="s">
        <v>167</v>
      </c>
      <c r="B67" s="190" t="s">
        <v>168</v>
      </c>
      <c r="C67" s="175" t="s">
        <v>35</v>
      </c>
      <c r="D67" s="170"/>
      <c r="E67" s="175" t="s">
        <v>1</v>
      </c>
      <c r="F67" s="175"/>
      <c r="G67" s="177" t="s">
        <v>1</v>
      </c>
      <c r="H67" s="178" t="s">
        <v>1010</v>
      </c>
      <c r="I67" s="177" t="s">
        <v>9</v>
      </c>
      <c r="J67" s="179" t="s">
        <v>35</v>
      </c>
      <c r="K67" s="180"/>
      <c r="L67" s="179" t="s">
        <v>1001</v>
      </c>
    </row>
    <row r="68" spans="1:13" ht="45" x14ac:dyDescent="0.3">
      <c r="A68" s="175" t="s">
        <v>169</v>
      </c>
      <c r="B68" s="190" t="s">
        <v>170</v>
      </c>
      <c r="C68" s="175" t="s">
        <v>35</v>
      </c>
      <c r="D68" s="170"/>
      <c r="E68" s="175" t="s">
        <v>1</v>
      </c>
      <c r="F68" s="175"/>
      <c r="G68" s="177" t="s">
        <v>36</v>
      </c>
      <c r="H68" s="178" t="s">
        <v>171</v>
      </c>
      <c r="I68" s="177" t="s">
        <v>9</v>
      </c>
      <c r="J68" s="172"/>
      <c r="K68" s="172"/>
      <c r="L68" s="172" t="s">
        <v>1001</v>
      </c>
    </row>
    <row r="69" spans="1:13" ht="45" x14ac:dyDescent="0.3">
      <c r="A69" s="175" t="s">
        <v>172</v>
      </c>
      <c r="B69" s="190" t="s">
        <v>173</v>
      </c>
      <c r="C69" s="175" t="s">
        <v>35</v>
      </c>
      <c r="D69" s="170"/>
      <c r="E69" s="175" t="s">
        <v>1</v>
      </c>
      <c r="F69" s="175"/>
      <c r="G69" s="177" t="s">
        <v>36</v>
      </c>
      <c r="H69" s="178" t="s">
        <v>1010</v>
      </c>
      <c r="I69" s="177" t="s">
        <v>9</v>
      </c>
      <c r="J69" s="172"/>
      <c r="K69" s="172"/>
      <c r="L69" s="172" t="s">
        <v>1001</v>
      </c>
    </row>
    <row r="70" spans="1:13" ht="90" x14ac:dyDescent="0.3">
      <c r="A70" s="175" t="s">
        <v>174</v>
      </c>
      <c r="B70" s="190" t="s">
        <v>175</v>
      </c>
      <c r="C70" s="175" t="s">
        <v>35</v>
      </c>
      <c r="D70" s="170"/>
      <c r="E70" s="175" t="s">
        <v>1</v>
      </c>
      <c r="F70" s="175"/>
      <c r="G70" s="177" t="s">
        <v>36</v>
      </c>
      <c r="H70" s="178" t="s">
        <v>176</v>
      </c>
      <c r="I70" s="177" t="s">
        <v>9</v>
      </c>
      <c r="J70" s="172"/>
      <c r="K70" s="172"/>
      <c r="L70" s="172" t="s">
        <v>1001</v>
      </c>
      <c r="M70" s="174" t="s">
        <v>1002</v>
      </c>
    </row>
    <row r="71" spans="1:13" ht="45" x14ac:dyDescent="0.3">
      <c r="A71" s="175" t="s">
        <v>177</v>
      </c>
      <c r="B71" s="236" t="s">
        <v>1012</v>
      </c>
      <c r="C71" s="175" t="s">
        <v>35</v>
      </c>
      <c r="D71" s="170"/>
      <c r="E71" s="175" t="s">
        <v>1</v>
      </c>
      <c r="F71" s="175"/>
      <c r="G71" s="177" t="s">
        <v>1</v>
      </c>
      <c r="H71" s="178"/>
      <c r="I71" s="177" t="s">
        <v>9</v>
      </c>
      <c r="J71" s="179" t="s">
        <v>35</v>
      </c>
      <c r="K71" s="180"/>
      <c r="L71" s="179" t="s">
        <v>1001</v>
      </c>
    </row>
    <row r="72" spans="1:13" ht="93.6" x14ac:dyDescent="0.25">
      <c r="A72" s="183"/>
      <c r="B72" s="184" t="s">
        <v>178</v>
      </c>
      <c r="C72" s="185" t="s">
        <v>40</v>
      </c>
      <c r="D72" s="186" t="s">
        <v>41</v>
      </c>
      <c r="E72" s="187"/>
      <c r="F72" s="188"/>
      <c r="G72" s="188"/>
      <c r="H72" s="189"/>
      <c r="I72" s="188"/>
      <c r="J72" s="188"/>
      <c r="K72" s="189"/>
      <c r="L72" s="188"/>
    </row>
    <row r="73" spans="1:13" ht="30" x14ac:dyDescent="0.3">
      <c r="A73" s="175" t="s">
        <v>48</v>
      </c>
      <c r="B73" s="237" t="s">
        <v>179</v>
      </c>
      <c r="C73" s="175" t="s">
        <v>35</v>
      </c>
      <c r="D73" s="170"/>
      <c r="E73" s="175" t="s">
        <v>1</v>
      </c>
      <c r="F73" s="175"/>
      <c r="G73" s="177" t="s">
        <v>1</v>
      </c>
      <c r="H73" s="178"/>
      <c r="I73" s="177" t="s">
        <v>9</v>
      </c>
      <c r="J73" s="179" t="s">
        <v>35</v>
      </c>
      <c r="K73" s="180"/>
      <c r="L73" s="179" t="s">
        <v>1001</v>
      </c>
    </row>
    <row r="74" spans="1:13" ht="30" x14ac:dyDescent="0.3">
      <c r="A74" s="175" t="s">
        <v>131</v>
      </c>
      <c r="B74" s="190" t="s">
        <v>180</v>
      </c>
      <c r="C74" s="175" t="s">
        <v>35</v>
      </c>
      <c r="D74" s="170"/>
      <c r="E74" s="175" t="s">
        <v>1</v>
      </c>
      <c r="F74" s="175"/>
      <c r="G74" s="177" t="s">
        <v>1</v>
      </c>
      <c r="H74" s="178"/>
      <c r="I74" s="177" t="s">
        <v>9</v>
      </c>
      <c r="J74" s="179" t="s">
        <v>35</v>
      </c>
      <c r="K74" s="180"/>
      <c r="L74" s="179" t="s">
        <v>1001</v>
      </c>
    </row>
    <row r="75" spans="1:13" ht="30" x14ac:dyDescent="0.3">
      <c r="A75" s="175" t="s">
        <v>55</v>
      </c>
      <c r="B75" s="190" t="s">
        <v>181</v>
      </c>
      <c r="C75" s="175" t="s">
        <v>35</v>
      </c>
      <c r="D75" s="170"/>
      <c r="E75" s="175" t="s">
        <v>1</v>
      </c>
      <c r="F75" s="175"/>
      <c r="G75" s="177" t="s">
        <v>1</v>
      </c>
      <c r="H75" s="178"/>
      <c r="I75" s="177" t="s">
        <v>9</v>
      </c>
      <c r="J75" s="179" t="s">
        <v>35</v>
      </c>
      <c r="K75" s="180"/>
      <c r="L75" s="179" t="s">
        <v>1001</v>
      </c>
    </row>
    <row r="76" spans="1:13" ht="195" x14ac:dyDescent="0.3">
      <c r="A76" s="175" t="s">
        <v>63</v>
      </c>
      <c r="B76" s="190" t="s">
        <v>182</v>
      </c>
      <c r="C76" s="175" t="s">
        <v>35</v>
      </c>
      <c r="D76" s="170" t="s">
        <v>183</v>
      </c>
      <c r="E76" s="175" t="s">
        <v>2</v>
      </c>
      <c r="F76" s="175"/>
      <c r="G76" s="177" t="s">
        <v>36</v>
      </c>
      <c r="H76" s="178" t="s">
        <v>184</v>
      </c>
      <c r="I76" s="177" t="s">
        <v>9</v>
      </c>
      <c r="J76" s="172"/>
      <c r="K76" s="172"/>
      <c r="L76" s="172" t="s">
        <v>1001</v>
      </c>
      <c r="M76" s="174" t="s">
        <v>1002</v>
      </c>
    </row>
    <row r="77" spans="1:13" ht="45" x14ac:dyDescent="0.3">
      <c r="A77" s="175" t="s">
        <v>146</v>
      </c>
      <c r="B77" s="190" t="s">
        <v>185</v>
      </c>
      <c r="C77" s="175" t="s">
        <v>35</v>
      </c>
      <c r="D77" s="170"/>
      <c r="E77" s="175" t="s">
        <v>1</v>
      </c>
      <c r="F77" s="175"/>
      <c r="G77" s="177" t="s">
        <v>36</v>
      </c>
      <c r="H77" s="178" t="s">
        <v>186</v>
      </c>
      <c r="I77" s="177" t="s">
        <v>9</v>
      </c>
      <c r="J77" s="172"/>
      <c r="K77" s="172"/>
      <c r="L77" s="172" t="s">
        <v>1001</v>
      </c>
      <c r="M77" s="174" t="s">
        <v>1002</v>
      </c>
    </row>
    <row r="78" spans="1:13" ht="90" x14ac:dyDescent="0.3">
      <c r="A78" s="175" t="s">
        <v>149</v>
      </c>
      <c r="B78" s="190" t="s">
        <v>187</v>
      </c>
      <c r="C78" s="175" t="s">
        <v>35</v>
      </c>
      <c r="D78" s="170" t="s">
        <v>188</v>
      </c>
      <c r="E78" s="175" t="s">
        <v>2</v>
      </c>
      <c r="F78" s="175"/>
      <c r="G78" s="177" t="s">
        <v>36</v>
      </c>
      <c r="H78" s="178"/>
      <c r="I78" s="177" t="s">
        <v>9</v>
      </c>
      <c r="J78" s="172"/>
      <c r="K78" s="172"/>
      <c r="L78" s="172" t="s">
        <v>1001</v>
      </c>
      <c r="M78" s="174" t="s">
        <v>1002</v>
      </c>
    </row>
    <row r="79" spans="1:13" ht="105" x14ac:dyDescent="0.3">
      <c r="A79" s="175" t="s">
        <v>151</v>
      </c>
      <c r="B79" s="190" t="s">
        <v>189</v>
      </c>
      <c r="C79" s="175" t="s">
        <v>37</v>
      </c>
      <c r="D79" s="170" t="s">
        <v>190</v>
      </c>
      <c r="E79" s="175" t="s">
        <v>2</v>
      </c>
      <c r="F79" s="175"/>
      <c r="G79" s="177" t="s">
        <v>2</v>
      </c>
      <c r="H79" s="178" t="s">
        <v>191</v>
      </c>
      <c r="I79" s="177" t="s">
        <v>9</v>
      </c>
      <c r="J79" s="179" t="s">
        <v>35</v>
      </c>
      <c r="K79" s="180"/>
      <c r="L79" s="179" t="s">
        <v>1001</v>
      </c>
    </row>
    <row r="80" spans="1:13" ht="30" x14ac:dyDescent="0.3">
      <c r="A80" s="175" t="s">
        <v>153</v>
      </c>
      <c r="B80" s="190" t="s">
        <v>192</v>
      </c>
      <c r="C80" s="175" t="s">
        <v>35</v>
      </c>
      <c r="D80" s="170"/>
      <c r="E80" s="175" t="s">
        <v>1</v>
      </c>
      <c r="F80" s="175"/>
      <c r="G80" s="177" t="s">
        <v>1</v>
      </c>
      <c r="H80" s="178"/>
      <c r="I80" s="177" t="s">
        <v>9</v>
      </c>
      <c r="J80" s="179" t="s">
        <v>35</v>
      </c>
      <c r="K80" s="180"/>
      <c r="L80" s="179" t="s">
        <v>1001</v>
      </c>
    </row>
    <row r="81" spans="1:12" ht="30" x14ac:dyDescent="0.3">
      <c r="A81" s="175" t="s">
        <v>155</v>
      </c>
      <c r="B81" s="190" t="s">
        <v>193</v>
      </c>
      <c r="C81" s="175" t="s">
        <v>35</v>
      </c>
      <c r="D81" s="170"/>
      <c r="E81" s="175" t="s">
        <v>2</v>
      </c>
      <c r="F81" s="175"/>
      <c r="G81" s="177" t="s">
        <v>2</v>
      </c>
      <c r="H81" s="178"/>
      <c r="I81" s="177" t="s">
        <v>9</v>
      </c>
      <c r="J81" s="179" t="s">
        <v>35</v>
      </c>
      <c r="K81" s="180"/>
      <c r="L81" s="179" t="s">
        <v>1001</v>
      </c>
    </row>
    <row r="82" spans="1:12" ht="30" x14ac:dyDescent="0.3">
      <c r="A82" s="175" t="s">
        <v>157</v>
      </c>
      <c r="B82" s="190" t="s">
        <v>194</v>
      </c>
      <c r="C82" s="175" t="s">
        <v>35</v>
      </c>
      <c r="D82" s="170"/>
      <c r="E82" s="175" t="s">
        <v>1</v>
      </c>
      <c r="F82" s="175"/>
      <c r="G82" s="177" t="s">
        <v>1</v>
      </c>
      <c r="H82" s="178"/>
      <c r="I82" s="177" t="s">
        <v>9</v>
      </c>
      <c r="J82" s="179" t="s">
        <v>35</v>
      </c>
      <c r="K82" s="180"/>
      <c r="L82" s="179" t="s">
        <v>1001</v>
      </c>
    </row>
    <row r="83" spans="1:12" ht="45" x14ac:dyDescent="0.3">
      <c r="A83" s="175" t="s">
        <v>159</v>
      </c>
      <c r="B83" s="190" t="s">
        <v>195</v>
      </c>
      <c r="C83" s="175" t="s">
        <v>35</v>
      </c>
      <c r="D83" s="170"/>
      <c r="E83" s="175" t="s">
        <v>1</v>
      </c>
      <c r="F83" s="175"/>
      <c r="G83" s="177" t="s">
        <v>1</v>
      </c>
      <c r="H83" s="178"/>
      <c r="I83" s="177" t="s">
        <v>9</v>
      </c>
      <c r="J83" s="179" t="s">
        <v>35</v>
      </c>
      <c r="K83" s="180"/>
      <c r="L83" s="179" t="s">
        <v>1001</v>
      </c>
    </row>
    <row r="84" spans="1:12" ht="30" x14ac:dyDescent="0.3">
      <c r="A84" s="175" t="s">
        <v>161</v>
      </c>
      <c r="B84" s="190" t="s">
        <v>196</v>
      </c>
      <c r="C84" s="175" t="s">
        <v>35</v>
      </c>
      <c r="D84" s="170"/>
      <c r="E84" s="175" t="s">
        <v>1</v>
      </c>
      <c r="F84" s="175"/>
      <c r="G84" s="177" t="s">
        <v>1</v>
      </c>
      <c r="H84" s="178"/>
      <c r="I84" s="177" t="s">
        <v>9</v>
      </c>
      <c r="J84" s="179" t="s">
        <v>35</v>
      </c>
      <c r="K84" s="180"/>
      <c r="L84" s="179" t="s">
        <v>1001</v>
      </c>
    </row>
    <row r="85" spans="1:12" ht="45" x14ac:dyDescent="0.3">
      <c r="A85" s="175" t="s">
        <v>164</v>
      </c>
      <c r="B85" s="190" t="s">
        <v>197</v>
      </c>
      <c r="C85" s="175" t="s">
        <v>35</v>
      </c>
      <c r="D85" s="170"/>
      <c r="E85" s="175" t="s">
        <v>2</v>
      </c>
      <c r="F85" s="175"/>
      <c r="G85" s="177" t="s">
        <v>2</v>
      </c>
      <c r="H85" s="178"/>
      <c r="I85" s="177" t="s">
        <v>9</v>
      </c>
      <c r="J85" s="179" t="s">
        <v>35</v>
      </c>
      <c r="K85" s="180"/>
      <c r="L85" s="179" t="s">
        <v>1001</v>
      </c>
    </row>
    <row r="86" spans="1:12" ht="45" x14ac:dyDescent="0.3">
      <c r="A86" s="175" t="s">
        <v>167</v>
      </c>
      <c r="B86" s="190" t="s">
        <v>198</v>
      </c>
      <c r="C86" s="175" t="s">
        <v>35</v>
      </c>
      <c r="D86" s="170"/>
      <c r="E86" s="175" t="s">
        <v>2</v>
      </c>
      <c r="F86" s="175"/>
      <c r="G86" s="177" t="s">
        <v>2</v>
      </c>
      <c r="H86" s="178"/>
      <c r="I86" s="177" t="s">
        <v>9</v>
      </c>
      <c r="J86" s="179" t="s">
        <v>35</v>
      </c>
      <c r="K86" s="180"/>
      <c r="L86" s="179" t="s">
        <v>1001</v>
      </c>
    </row>
    <row r="87" spans="1:12" ht="409.6" x14ac:dyDescent="0.3">
      <c r="A87" s="175" t="s">
        <v>169</v>
      </c>
      <c r="B87" s="190" t="s">
        <v>199</v>
      </c>
      <c r="C87" s="175" t="s">
        <v>35</v>
      </c>
      <c r="D87" s="170" t="s">
        <v>200</v>
      </c>
      <c r="E87" s="175" t="s">
        <v>1</v>
      </c>
      <c r="F87" s="175"/>
      <c r="G87" s="177" t="s">
        <v>1</v>
      </c>
      <c r="H87" s="178"/>
      <c r="I87" s="177" t="s">
        <v>9</v>
      </c>
      <c r="J87" s="179" t="s">
        <v>35</v>
      </c>
      <c r="K87" s="180"/>
      <c r="L87" s="179" t="s">
        <v>1001</v>
      </c>
    </row>
    <row r="88" spans="1:12" ht="45" x14ac:dyDescent="0.3">
      <c r="A88" s="175" t="s">
        <v>172</v>
      </c>
      <c r="B88" s="190" t="s">
        <v>201</v>
      </c>
      <c r="C88" s="175" t="s">
        <v>35</v>
      </c>
      <c r="D88" s="170"/>
      <c r="E88" s="175" t="s">
        <v>1</v>
      </c>
      <c r="F88" s="175"/>
      <c r="G88" s="177" t="s">
        <v>1</v>
      </c>
      <c r="H88" s="178"/>
      <c r="I88" s="177" t="s">
        <v>9</v>
      </c>
      <c r="J88" s="179" t="s">
        <v>35</v>
      </c>
      <c r="K88" s="180"/>
      <c r="L88" s="179" t="s">
        <v>1001</v>
      </c>
    </row>
    <row r="89" spans="1:12" ht="45" x14ac:dyDescent="0.3">
      <c r="A89" s="175"/>
      <c r="B89" s="190" t="s">
        <v>202</v>
      </c>
      <c r="C89" s="175" t="s">
        <v>35</v>
      </c>
      <c r="D89" s="170"/>
      <c r="E89" s="175" t="s">
        <v>1</v>
      </c>
      <c r="F89" s="175"/>
      <c r="G89" s="177" t="s">
        <v>1</v>
      </c>
      <c r="H89" s="178"/>
      <c r="I89" s="177" t="s">
        <v>9</v>
      </c>
      <c r="J89" s="179" t="s">
        <v>35</v>
      </c>
      <c r="K89" s="180"/>
      <c r="L89" s="179" t="s">
        <v>1001</v>
      </c>
    </row>
    <row r="90" spans="1:12" ht="45" x14ac:dyDescent="0.3">
      <c r="A90" s="175"/>
      <c r="B90" s="190" t="s">
        <v>203</v>
      </c>
      <c r="C90" s="175" t="s">
        <v>35</v>
      </c>
      <c r="D90" s="170"/>
      <c r="E90" s="175" t="s">
        <v>1</v>
      </c>
      <c r="F90" s="175"/>
      <c r="G90" s="177" t="s">
        <v>1</v>
      </c>
      <c r="H90" s="178"/>
      <c r="I90" s="177" t="s">
        <v>9</v>
      </c>
      <c r="J90" s="179" t="s">
        <v>35</v>
      </c>
      <c r="K90" s="180"/>
      <c r="L90" s="179" t="s">
        <v>1001</v>
      </c>
    </row>
    <row r="91" spans="1:12" ht="30" x14ac:dyDescent="0.3">
      <c r="A91" s="175"/>
      <c r="B91" s="190" t="s">
        <v>204</v>
      </c>
      <c r="C91" s="175" t="s">
        <v>35</v>
      </c>
      <c r="D91" s="170"/>
      <c r="E91" s="175" t="s">
        <v>1</v>
      </c>
      <c r="F91" s="175"/>
      <c r="G91" s="177" t="s">
        <v>1</v>
      </c>
      <c r="H91" s="178"/>
      <c r="I91" s="177" t="s">
        <v>9</v>
      </c>
      <c r="J91" s="179" t="s">
        <v>35</v>
      </c>
      <c r="K91" s="180"/>
      <c r="L91" s="179" t="s">
        <v>1001</v>
      </c>
    </row>
    <row r="92" spans="1:12" ht="135" x14ac:dyDescent="0.3">
      <c r="A92" s="175"/>
      <c r="B92" s="190" t="s">
        <v>205</v>
      </c>
      <c r="C92" s="175" t="s">
        <v>35</v>
      </c>
      <c r="D92" s="170" t="s">
        <v>206</v>
      </c>
      <c r="E92" s="175" t="s">
        <v>1</v>
      </c>
      <c r="F92" s="175"/>
      <c r="G92" s="177" t="s">
        <v>1</v>
      </c>
      <c r="H92" s="178"/>
      <c r="I92" s="177" t="s">
        <v>9</v>
      </c>
      <c r="J92" s="179" t="s">
        <v>35</v>
      </c>
      <c r="K92" s="180"/>
      <c r="L92" s="179" t="s">
        <v>1001</v>
      </c>
    </row>
    <row r="93" spans="1:12" ht="30" x14ac:dyDescent="0.3">
      <c r="A93" s="175"/>
      <c r="B93" s="190" t="s">
        <v>207</v>
      </c>
      <c r="C93" s="175" t="s">
        <v>35</v>
      </c>
      <c r="D93" s="170"/>
      <c r="E93" s="175" t="s">
        <v>2</v>
      </c>
      <c r="F93" s="175"/>
      <c r="G93" s="177" t="s">
        <v>36</v>
      </c>
      <c r="H93" s="178"/>
      <c r="I93" s="177" t="s">
        <v>9</v>
      </c>
      <c r="J93" s="172"/>
      <c r="K93" s="172"/>
      <c r="L93" s="172" t="s">
        <v>1001</v>
      </c>
    </row>
    <row r="94" spans="1:12" ht="60" x14ac:dyDescent="0.3">
      <c r="A94" s="175"/>
      <c r="B94" s="190" t="s">
        <v>208</v>
      </c>
      <c r="C94" s="175" t="s">
        <v>35</v>
      </c>
      <c r="D94" s="170"/>
      <c r="E94" s="175" t="s">
        <v>2</v>
      </c>
      <c r="F94" s="175"/>
      <c r="G94" s="177" t="s">
        <v>2</v>
      </c>
      <c r="H94" s="178" t="s">
        <v>209</v>
      </c>
      <c r="I94" s="177" t="s">
        <v>9</v>
      </c>
      <c r="J94" s="179" t="s">
        <v>35</v>
      </c>
      <c r="K94" s="180"/>
      <c r="L94" s="179" t="s">
        <v>1001</v>
      </c>
    </row>
    <row r="95" spans="1:12" ht="60" x14ac:dyDescent="0.3">
      <c r="A95" s="175"/>
      <c r="B95" s="190" t="s">
        <v>210</v>
      </c>
      <c r="C95" s="175" t="s">
        <v>35</v>
      </c>
      <c r="D95" s="170"/>
      <c r="E95" s="175" t="s">
        <v>1</v>
      </c>
      <c r="F95" s="175"/>
      <c r="G95" s="177" t="s">
        <v>1</v>
      </c>
      <c r="H95" s="178"/>
      <c r="I95" s="177" t="s">
        <v>9</v>
      </c>
      <c r="J95" s="179" t="s">
        <v>35</v>
      </c>
      <c r="K95" s="180"/>
      <c r="L95" s="179" t="s">
        <v>1001</v>
      </c>
    </row>
    <row r="96" spans="1:12" ht="45" x14ac:dyDescent="0.3">
      <c r="A96" s="175"/>
      <c r="B96" s="190" t="s">
        <v>211</v>
      </c>
      <c r="C96" s="175" t="s">
        <v>35</v>
      </c>
      <c r="D96" s="170"/>
      <c r="E96" s="175" t="s">
        <v>2</v>
      </c>
      <c r="F96" s="175"/>
      <c r="G96" s="177" t="s">
        <v>1</v>
      </c>
      <c r="H96" s="178" t="s">
        <v>212</v>
      </c>
      <c r="I96" s="177" t="s">
        <v>9</v>
      </c>
      <c r="J96" s="179" t="s">
        <v>35</v>
      </c>
      <c r="K96" s="180"/>
      <c r="L96" s="179" t="s">
        <v>1001</v>
      </c>
    </row>
    <row r="97" spans="1:13" ht="150" x14ac:dyDescent="0.3">
      <c r="A97" s="175"/>
      <c r="B97" s="190" t="s">
        <v>213</v>
      </c>
      <c r="C97" s="175" t="s">
        <v>35</v>
      </c>
      <c r="D97" s="170" t="s">
        <v>214</v>
      </c>
      <c r="E97" s="175" t="s">
        <v>1</v>
      </c>
      <c r="F97" s="175"/>
      <c r="G97" s="177" t="s">
        <v>36</v>
      </c>
      <c r="H97" s="178" t="s">
        <v>215</v>
      </c>
      <c r="I97" s="177" t="s">
        <v>9</v>
      </c>
      <c r="J97" s="172"/>
      <c r="K97" s="172"/>
      <c r="L97" s="172" t="s">
        <v>1001</v>
      </c>
    </row>
    <row r="98" spans="1:13" ht="165" x14ac:dyDescent="0.3">
      <c r="A98" s="175"/>
      <c r="B98" s="190" t="s">
        <v>216</v>
      </c>
      <c r="C98" s="175" t="s">
        <v>35</v>
      </c>
      <c r="D98" s="170" t="s">
        <v>217</v>
      </c>
      <c r="E98" s="175" t="s">
        <v>1</v>
      </c>
      <c r="F98" s="175"/>
      <c r="G98" s="177" t="s">
        <v>1</v>
      </c>
      <c r="H98" s="178"/>
      <c r="I98" s="177" t="s">
        <v>9</v>
      </c>
      <c r="J98" s="179" t="s">
        <v>35</v>
      </c>
      <c r="K98" s="180" t="s">
        <v>218</v>
      </c>
      <c r="L98" s="179" t="s">
        <v>1001</v>
      </c>
    </row>
    <row r="99" spans="1:13" ht="45" x14ac:dyDescent="0.3">
      <c r="A99" s="175"/>
      <c r="B99" s="190" t="s">
        <v>219</v>
      </c>
      <c r="C99" s="175" t="s">
        <v>35</v>
      </c>
      <c r="D99" s="170"/>
      <c r="E99" s="175" t="s">
        <v>1</v>
      </c>
      <c r="F99" s="175"/>
      <c r="G99" s="177" t="s">
        <v>1</v>
      </c>
      <c r="H99" s="178" t="s">
        <v>220</v>
      </c>
      <c r="I99" s="177" t="s">
        <v>9</v>
      </c>
      <c r="J99" s="179" t="s">
        <v>35</v>
      </c>
      <c r="K99" s="180"/>
      <c r="L99" s="179" t="s">
        <v>1001</v>
      </c>
    </row>
    <row r="100" spans="1:13" ht="300" x14ac:dyDescent="0.3">
      <c r="A100" s="175"/>
      <c r="B100" s="190" t="s">
        <v>221</v>
      </c>
      <c r="C100" s="175" t="s">
        <v>35</v>
      </c>
      <c r="D100" s="170" t="s">
        <v>222</v>
      </c>
      <c r="E100" s="175" t="s">
        <v>1</v>
      </c>
      <c r="F100" s="175"/>
      <c r="G100" s="177" t="s">
        <v>1</v>
      </c>
      <c r="H100" s="178" t="s">
        <v>223</v>
      </c>
      <c r="I100" s="177" t="s">
        <v>9</v>
      </c>
      <c r="J100" s="179" t="s">
        <v>35</v>
      </c>
      <c r="K100" s="180"/>
      <c r="L100" s="179" t="s">
        <v>1001</v>
      </c>
    </row>
    <row r="101" spans="1:13" ht="60" x14ac:dyDescent="0.3">
      <c r="A101" s="175"/>
      <c r="B101" s="190" t="s">
        <v>224</v>
      </c>
      <c r="C101" s="175" t="s">
        <v>35</v>
      </c>
      <c r="D101" s="170"/>
      <c r="E101" s="175" t="s">
        <v>1</v>
      </c>
      <c r="F101" s="175"/>
      <c r="G101" s="177" t="s">
        <v>1</v>
      </c>
      <c r="H101" s="178"/>
      <c r="I101" s="177" t="s">
        <v>9</v>
      </c>
      <c r="J101" s="179" t="s">
        <v>35</v>
      </c>
      <c r="K101" s="180"/>
      <c r="L101" s="179" t="s">
        <v>1001</v>
      </c>
    </row>
    <row r="102" spans="1:13" ht="105" x14ac:dyDescent="0.3">
      <c r="A102" s="175"/>
      <c r="B102" s="190" t="s">
        <v>225</v>
      </c>
      <c r="C102" s="175" t="s">
        <v>35</v>
      </c>
      <c r="D102" s="170"/>
      <c r="E102" s="175" t="s">
        <v>1</v>
      </c>
      <c r="F102" s="175"/>
      <c r="G102" s="177" t="s">
        <v>36</v>
      </c>
      <c r="H102" s="178" t="s">
        <v>226</v>
      </c>
      <c r="I102" s="177" t="s">
        <v>9</v>
      </c>
      <c r="J102" s="172"/>
      <c r="K102" s="172"/>
      <c r="L102" s="172" t="s">
        <v>1001</v>
      </c>
    </row>
    <row r="103" spans="1:13" ht="60" x14ac:dyDescent="0.3">
      <c r="A103" s="175"/>
      <c r="B103" s="190" t="s">
        <v>227</v>
      </c>
      <c r="C103" s="175" t="s">
        <v>35</v>
      </c>
      <c r="D103" s="170"/>
      <c r="E103" s="175" t="s">
        <v>1</v>
      </c>
      <c r="F103" s="175"/>
      <c r="G103" s="177" t="s">
        <v>1</v>
      </c>
      <c r="H103" s="178"/>
      <c r="I103" s="177" t="s">
        <v>9</v>
      </c>
      <c r="J103" s="179" t="s">
        <v>35</v>
      </c>
      <c r="K103" s="180"/>
      <c r="L103" s="179" t="s">
        <v>1001</v>
      </c>
    </row>
    <row r="104" spans="1:13" ht="75" x14ac:dyDescent="0.3">
      <c r="A104" s="175"/>
      <c r="B104" s="190" t="s">
        <v>228</v>
      </c>
      <c r="C104" s="175" t="s">
        <v>35</v>
      </c>
      <c r="D104" s="170"/>
      <c r="E104" s="175" t="s">
        <v>2</v>
      </c>
      <c r="F104" s="175"/>
      <c r="G104" s="177" t="s">
        <v>36</v>
      </c>
      <c r="H104" s="178" t="s">
        <v>184</v>
      </c>
      <c r="I104" s="177" t="s">
        <v>9</v>
      </c>
      <c r="J104" s="172"/>
      <c r="K104" s="172"/>
      <c r="L104" s="172" t="s">
        <v>1001</v>
      </c>
      <c r="M104" s="174" t="s">
        <v>1002</v>
      </c>
    </row>
    <row r="105" spans="1:13" ht="75" x14ac:dyDescent="0.3">
      <c r="A105" s="170"/>
      <c r="B105" s="190" t="s">
        <v>229</v>
      </c>
      <c r="C105" s="175" t="s">
        <v>35</v>
      </c>
      <c r="D105" s="170"/>
      <c r="E105" s="175" t="s">
        <v>2</v>
      </c>
      <c r="F105" s="175"/>
      <c r="G105" s="177" t="s">
        <v>36</v>
      </c>
      <c r="H105" s="178" t="s">
        <v>184</v>
      </c>
      <c r="I105" s="177" t="s">
        <v>9</v>
      </c>
      <c r="J105" s="172"/>
      <c r="K105" s="172"/>
      <c r="L105" s="172" t="s">
        <v>1001</v>
      </c>
      <c r="M105" s="174" t="s">
        <v>1002</v>
      </c>
    </row>
    <row r="106" spans="1:13" ht="93.6" x14ac:dyDescent="0.25">
      <c r="A106" s="183"/>
      <c r="B106" s="184" t="s">
        <v>230</v>
      </c>
      <c r="C106" s="185" t="s">
        <v>40</v>
      </c>
      <c r="D106" s="186" t="s">
        <v>41</v>
      </c>
      <c r="E106" s="187"/>
      <c r="F106" s="188"/>
      <c r="G106" s="188"/>
      <c r="H106" s="189"/>
      <c r="I106" s="188"/>
      <c r="J106" s="188"/>
      <c r="K106" s="189"/>
      <c r="L106" s="188"/>
    </row>
    <row r="107" spans="1:13" ht="30" x14ac:dyDescent="0.3">
      <c r="A107" s="175" t="s">
        <v>129</v>
      </c>
      <c r="B107" s="190" t="s">
        <v>231</v>
      </c>
      <c r="C107" s="175" t="s">
        <v>35</v>
      </c>
      <c r="D107" s="170"/>
      <c r="E107" s="175" t="s">
        <v>1</v>
      </c>
      <c r="F107" s="175"/>
      <c r="G107" s="177" t="s">
        <v>1</v>
      </c>
      <c r="H107" s="178"/>
      <c r="I107" s="177" t="s">
        <v>9</v>
      </c>
      <c r="J107" s="179" t="s">
        <v>35</v>
      </c>
      <c r="K107" s="180"/>
      <c r="L107" s="179" t="s">
        <v>1001</v>
      </c>
    </row>
    <row r="108" spans="1:13" ht="93.6" x14ac:dyDescent="0.25">
      <c r="A108" s="183"/>
      <c r="B108" s="184" t="s">
        <v>232</v>
      </c>
      <c r="C108" s="185" t="s">
        <v>40</v>
      </c>
      <c r="D108" s="186" t="s">
        <v>41</v>
      </c>
      <c r="E108" s="187"/>
      <c r="F108" s="188"/>
      <c r="G108" s="188"/>
      <c r="H108" s="189"/>
      <c r="I108" s="188"/>
      <c r="J108" s="188"/>
      <c r="K108" s="189"/>
      <c r="L108" s="188"/>
    </row>
    <row r="109" spans="1:13" ht="90" x14ac:dyDescent="0.3">
      <c r="A109" s="175" t="s">
        <v>129</v>
      </c>
      <c r="B109" s="190" t="s">
        <v>233</v>
      </c>
      <c r="C109" s="175" t="s">
        <v>35</v>
      </c>
      <c r="D109" s="170"/>
      <c r="E109" s="175" t="s">
        <v>1</v>
      </c>
      <c r="F109" s="175"/>
      <c r="G109" s="177" t="s">
        <v>1</v>
      </c>
      <c r="H109" s="178"/>
      <c r="I109" s="177" t="s">
        <v>9</v>
      </c>
      <c r="J109" s="179" t="s">
        <v>35</v>
      </c>
      <c r="K109" s="180"/>
      <c r="L109" s="179" t="s">
        <v>35</v>
      </c>
    </row>
  </sheetData>
  <autoFilter ref="A1:L1" xr:uid="{954BE4C5-416D-48CA-BF1D-821202DE8BF2}"/>
  <mergeCells count="17">
    <mergeCell ref="A2:A3"/>
    <mergeCell ref="A4:A5"/>
    <mergeCell ref="A6:A9"/>
    <mergeCell ref="A10:A13"/>
    <mergeCell ref="A14:A15"/>
    <mergeCell ref="A46:A47"/>
    <mergeCell ref="A22:A23"/>
    <mergeCell ref="A24:A25"/>
    <mergeCell ref="A26:A27"/>
    <mergeCell ref="A16:A17"/>
    <mergeCell ref="A18:A19"/>
    <mergeCell ref="A20:A21"/>
    <mergeCell ref="F30:F41"/>
    <mergeCell ref="A28:A29"/>
    <mergeCell ref="A30:A41"/>
    <mergeCell ref="A42:A43"/>
    <mergeCell ref="A44:A45"/>
  </mergeCells>
  <conditionalFormatting sqref="G1:G29 G31:G43 G45 G47:G1048576">
    <cfRule type="cellIs" dxfId="38" priority="1" operator="equal">
      <formula>"X"</formula>
    </cfRule>
    <cfRule type="cellIs" dxfId="37" priority="2" operator="equal">
      <formula>"N"</formula>
    </cfRule>
    <cfRule type="containsText" dxfId="36" priority="3" operator="containsText" text="SX">
      <formula>NOT(ISERROR(SEARCH("SX",G1)))</formula>
    </cfRule>
  </conditionalFormatting>
  <pageMargins left="0.7" right="0.7" top="0.75" bottom="0.75" header="0.3" footer="0.3"/>
  <pageSetup paperSize="9" scale="55"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90515-9AA9-44E3-8BE7-080CE3AFC026}">
  <sheetPr>
    <tabColor theme="7"/>
    <pageSetUpPr fitToPage="1"/>
  </sheetPr>
  <dimension ref="A1:M272"/>
  <sheetViews>
    <sheetView zoomScale="85" zoomScaleNormal="85" workbookViewId="0">
      <pane ySplit="1" topLeftCell="A265" activePane="bottomLeft" state="frozen"/>
      <selection activeCell="R29" sqref="R29"/>
      <selection pane="bottomLeft" activeCell="L1" sqref="L1"/>
    </sheetView>
  </sheetViews>
  <sheetFormatPr defaultColWidth="27.109375" defaultRowHeight="15" x14ac:dyDescent="0.3"/>
  <cols>
    <col min="1" max="1" width="6.88671875" style="174" bestFit="1" customWidth="1"/>
    <col min="2" max="2" width="27.109375" style="174"/>
    <col min="3" max="3" width="14" style="191" customWidth="1"/>
    <col min="4" max="4" width="27.109375" style="174"/>
    <col min="5" max="5" width="14.21875" style="191" customWidth="1"/>
    <col min="6" max="6" width="13" style="191" customWidth="1"/>
    <col min="7" max="7" width="27.109375" style="191"/>
    <col min="8" max="8" width="19" style="192" customWidth="1"/>
    <col min="9" max="10" width="19" style="191" customWidth="1"/>
    <col min="11" max="11" width="20.6640625" style="192" customWidth="1"/>
    <col min="12" max="12" width="10.21875" style="191" customWidth="1"/>
    <col min="13" max="16384" width="27.109375" style="174"/>
  </cols>
  <sheetData>
    <row r="1" spans="1:12" ht="78" x14ac:dyDescent="0.3">
      <c r="A1" s="205" t="s">
        <v>234</v>
      </c>
      <c r="B1" s="206" t="s">
        <v>235</v>
      </c>
      <c r="C1" s="207" t="s">
        <v>40</v>
      </c>
      <c r="D1" s="208" t="s">
        <v>41</v>
      </c>
      <c r="E1" s="207" t="s">
        <v>42</v>
      </c>
      <c r="F1" s="207" t="s">
        <v>43</v>
      </c>
      <c r="G1" s="209" t="s">
        <v>44</v>
      </c>
      <c r="H1" s="210" t="s">
        <v>45</v>
      </c>
      <c r="I1" s="211" t="s">
        <v>46</v>
      </c>
      <c r="J1" s="212" t="s">
        <v>47</v>
      </c>
      <c r="K1" s="213" t="s">
        <v>41</v>
      </c>
      <c r="L1" s="214" t="s">
        <v>1000</v>
      </c>
    </row>
    <row r="2" spans="1:12" ht="15.6" x14ac:dyDescent="0.3">
      <c r="A2" s="230" t="s">
        <v>48</v>
      </c>
      <c r="B2" s="171" t="s">
        <v>236</v>
      </c>
      <c r="C2" s="172"/>
      <c r="D2" s="173"/>
      <c r="E2" s="172"/>
      <c r="F2" s="172"/>
      <c r="G2" s="172"/>
      <c r="H2" s="173"/>
      <c r="I2" s="172"/>
      <c r="J2" s="172"/>
      <c r="K2" s="173"/>
      <c r="L2" s="172"/>
    </row>
    <row r="3" spans="1:12" ht="150" x14ac:dyDescent="0.3">
      <c r="A3" s="230"/>
      <c r="B3" s="190" t="s">
        <v>237</v>
      </c>
      <c r="C3" s="175" t="s">
        <v>35</v>
      </c>
      <c r="D3" s="170" t="s">
        <v>238</v>
      </c>
      <c r="E3" s="175" t="s">
        <v>1</v>
      </c>
      <c r="F3" s="175" t="s">
        <v>2</v>
      </c>
      <c r="G3" s="177" t="s">
        <v>1</v>
      </c>
      <c r="H3" s="178" t="s">
        <v>239</v>
      </c>
      <c r="I3" s="177" t="s">
        <v>11</v>
      </c>
      <c r="J3" s="179" t="s">
        <v>35</v>
      </c>
      <c r="K3" s="180" t="s">
        <v>240</v>
      </c>
      <c r="L3" s="179" t="s">
        <v>1001</v>
      </c>
    </row>
    <row r="4" spans="1:12" ht="210" x14ac:dyDescent="0.3">
      <c r="A4" s="230"/>
      <c r="B4" s="190" t="s">
        <v>241</v>
      </c>
      <c r="C4" s="175" t="s">
        <v>35</v>
      </c>
      <c r="D4" s="170" t="s">
        <v>238</v>
      </c>
      <c r="E4" s="175" t="s">
        <v>1</v>
      </c>
      <c r="F4" s="175" t="s">
        <v>2</v>
      </c>
      <c r="G4" s="177" t="s">
        <v>2</v>
      </c>
      <c r="H4" s="178" t="s">
        <v>242</v>
      </c>
      <c r="I4" s="177" t="s">
        <v>11</v>
      </c>
      <c r="J4" s="179" t="s">
        <v>35</v>
      </c>
      <c r="K4" s="180" t="s">
        <v>243</v>
      </c>
      <c r="L4" s="179" t="s">
        <v>1001</v>
      </c>
    </row>
    <row r="5" spans="1:12" ht="165" x14ac:dyDescent="0.3">
      <c r="A5" s="230"/>
      <c r="B5" s="190" t="s">
        <v>244</v>
      </c>
      <c r="C5" s="175" t="s">
        <v>35</v>
      </c>
      <c r="D5" s="170" t="s">
        <v>238</v>
      </c>
      <c r="E5" s="175" t="s">
        <v>1</v>
      </c>
      <c r="F5" s="175" t="s">
        <v>2</v>
      </c>
      <c r="G5" s="177" t="s">
        <v>2</v>
      </c>
      <c r="H5" s="178" t="s">
        <v>242</v>
      </c>
      <c r="I5" s="177" t="s">
        <v>11</v>
      </c>
      <c r="J5" s="179" t="s">
        <v>35</v>
      </c>
      <c r="K5" s="180" t="s">
        <v>243</v>
      </c>
      <c r="L5" s="179" t="s">
        <v>1001</v>
      </c>
    </row>
    <row r="6" spans="1:12" ht="15.6" x14ac:dyDescent="0.3">
      <c r="A6" s="230" t="s">
        <v>51</v>
      </c>
      <c r="B6" s="171" t="s">
        <v>245</v>
      </c>
      <c r="C6" s="172"/>
      <c r="D6" s="173"/>
      <c r="E6" s="172"/>
      <c r="F6" s="229" t="s">
        <v>2</v>
      </c>
      <c r="G6" s="172"/>
      <c r="H6" s="173"/>
      <c r="I6" s="172"/>
      <c r="J6" s="172"/>
      <c r="K6" s="173"/>
      <c r="L6" s="172"/>
    </row>
    <row r="7" spans="1:12" ht="195" x14ac:dyDescent="0.3">
      <c r="A7" s="230"/>
      <c r="B7" s="190" t="s">
        <v>246</v>
      </c>
      <c r="C7" s="175" t="s">
        <v>35</v>
      </c>
      <c r="D7" s="170"/>
      <c r="E7" s="175" t="s">
        <v>1</v>
      </c>
      <c r="F7" s="229"/>
      <c r="G7" s="177" t="s">
        <v>1</v>
      </c>
      <c r="H7" s="178"/>
      <c r="I7" s="177" t="s">
        <v>11</v>
      </c>
      <c r="J7" s="179" t="s">
        <v>35</v>
      </c>
      <c r="K7" s="180"/>
      <c r="L7" s="179" t="s">
        <v>1001</v>
      </c>
    </row>
    <row r="8" spans="1:12" ht="15.6" x14ac:dyDescent="0.3">
      <c r="A8" s="230" t="s">
        <v>55</v>
      </c>
      <c r="B8" s="171" t="s">
        <v>247</v>
      </c>
      <c r="C8" s="172"/>
      <c r="D8" s="173"/>
      <c r="E8" s="172"/>
      <c r="F8" s="232" t="s">
        <v>2</v>
      </c>
      <c r="G8" s="172"/>
      <c r="H8" s="173"/>
      <c r="I8" s="172"/>
      <c r="J8" s="172"/>
      <c r="K8" s="173"/>
      <c r="L8" s="172"/>
    </row>
    <row r="9" spans="1:12" ht="45" x14ac:dyDescent="0.3">
      <c r="A9" s="230"/>
      <c r="B9" s="170" t="s">
        <v>248</v>
      </c>
      <c r="C9" s="172"/>
      <c r="D9" s="173"/>
      <c r="E9" s="172"/>
      <c r="F9" s="232"/>
      <c r="G9" s="172"/>
      <c r="H9" s="173"/>
      <c r="I9" s="172"/>
      <c r="J9" s="172"/>
      <c r="K9" s="173"/>
      <c r="L9" s="172"/>
    </row>
    <row r="10" spans="1:12" ht="315" x14ac:dyDescent="0.3">
      <c r="A10" s="230"/>
      <c r="B10" s="194" t="s">
        <v>249</v>
      </c>
      <c r="C10" s="172"/>
      <c r="D10" s="173"/>
      <c r="E10" s="172"/>
      <c r="F10" s="232"/>
      <c r="G10" s="172"/>
      <c r="H10" s="173"/>
      <c r="I10" s="172"/>
      <c r="J10" s="172"/>
      <c r="K10" s="173"/>
      <c r="L10" s="172"/>
    </row>
    <row r="11" spans="1:12" ht="45" x14ac:dyDescent="0.3">
      <c r="A11" s="230"/>
      <c r="B11" s="170" t="s">
        <v>250</v>
      </c>
      <c r="C11" s="175" t="s">
        <v>35</v>
      </c>
      <c r="D11" s="170"/>
      <c r="E11" s="175" t="s">
        <v>1</v>
      </c>
      <c r="F11" s="232"/>
      <c r="G11" s="177" t="s">
        <v>1</v>
      </c>
      <c r="H11" s="178"/>
      <c r="I11" s="177" t="s">
        <v>11</v>
      </c>
      <c r="J11" s="179" t="s">
        <v>35</v>
      </c>
      <c r="K11" s="180"/>
      <c r="L11" s="179" t="s">
        <v>1001</v>
      </c>
    </row>
    <row r="12" spans="1:12" ht="60" x14ac:dyDescent="0.3">
      <c r="A12" s="230"/>
      <c r="B12" s="170" t="s">
        <v>251</v>
      </c>
      <c r="C12" s="175" t="s">
        <v>35</v>
      </c>
      <c r="D12" s="170"/>
      <c r="E12" s="175" t="s">
        <v>2</v>
      </c>
      <c r="F12" s="232"/>
      <c r="G12" s="177" t="s">
        <v>2</v>
      </c>
      <c r="H12" s="178"/>
      <c r="I12" s="177" t="s">
        <v>11</v>
      </c>
      <c r="J12" s="179" t="s">
        <v>35</v>
      </c>
      <c r="K12" s="180"/>
      <c r="L12" s="179" t="s">
        <v>1001</v>
      </c>
    </row>
    <row r="13" spans="1:12" ht="165" x14ac:dyDescent="0.3">
      <c r="A13" s="230"/>
      <c r="B13" s="170" t="s">
        <v>252</v>
      </c>
      <c r="C13" s="175" t="s">
        <v>35</v>
      </c>
      <c r="D13" s="170" t="s">
        <v>253</v>
      </c>
      <c r="E13" s="175" t="s">
        <v>1</v>
      </c>
      <c r="F13" s="232"/>
      <c r="G13" s="177" t="s">
        <v>1</v>
      </c>
      <c r="H13" s="178" t="s">
        <v>254</v>
      </c>
      <c r="I13" s="177" t="s">
        <v>11</v>
      </c>
      <c r="J13" s="179" t="s">
        <v>35</v>
      </c>
      <c r="K13" s="180"/>
      <c r="L13" s="179" t="s">
        <v>1001</v>
      </c>
    </row>
    <row r="14" spans="1:12" ht="409.6" x14ac:dyDescent="0.3">
      <c r="A14" s="170"/>
      <c r="B14" s="170" t="s">
        <v>255</v>
      </c>
      <c r="C14" s="175" t="s">
        <v>35</v>
      </c>
      <c r="D14" s="170" t="s">
        <v>253</v>
      </c>
      <c r="E14" s="175" t="s">
        <v>1</v>
      </c>
      <c r="F14" s="232"/>
      <c r="G14" s="177" t="s">
        <v>1</v>
      </c>
      <c r="H14" s="178"/>
      <c r="I14" s="177" t="s">
        <v>11</v>
      </c>
      <c r="J14" s="179" t="s">
        <v>35</v>
      </c>
      <c r="K14" s="180"/>
      <c r="L14" s="179" t="s">
        <v>1001</v>
      </c>
    </row>
    <row r="15" spans="1:12" ht="31.2" x14ac:dyDescent="0.3">
      <c r="A15" s="230" t="s">
        <v>63</v>
      </c>
      <c r="B15" s="171" t="s">
        <v>256</v>
      </c>
      <c r="C15" s="172"/>
      <c r="D15" s="173"/>
      <c r="E15" s="172"/>
      <c r="F15" s="232"/>
      <c r="G15" s="172"/>
      <c r="H15" s="173"/>
      <c r="I15" s="172"/>
      <c r="J15" s="172"/>
      <c r="K15" s="173"/>
      <c r="L15" s="172"/>
    </row>
    <row r="16" spans="1:12" ht="225" x14ac:dyDescent="0.3">
      <c r="A16" s="230"/>
      <c r="B16" s="194" t="s">
        <v>257</v>
      </c>
      <c r="C16" s="175" t="s">
        <v>37</v>
      </c>
      <c r="D16" s="170" t="s">
        <v>253</v>
      </c>
      <c r="E16" s="175" t="s">
        <v>2</v>
      </c>
      <c r="F16" s="232"/>
      <c r="G16" s="177" t="s">
        <v>2</v>
      </c>
      <c r="H16" s="178" t="s">
        <v>258</v>
      </c>
      <c r="I16" s="177" t="s">
        <v>11</v>
      </c>
      <c r="J16" s="179" t="s">
        <v>35</v>
      </c>
      <c r="K16" s="180" t="s">
        <v>259</v>
      </c>
      <c r="L16" s="179" t="s">
        <v>1001</v>
      </c>
    </row>
    <row r="17" spans="1:12" ht="15.6" x14ac:dyDescent="0.3">
      <c r="A17" s="230"/>
      <c r="B17" s="171"/>
      <c r="C17" s="172"/>
      <c r="D17" s="173"/>
      <c r="E17" s="172"/>
      <c r="F17" s="232"/>
      <c r="G17" s="172"/>
      <c r="H17" s="173"/>
      <c r="I17" s="172"/>
      <c r="J17" s="172"/>
      <c r="K17" s="173"/>
      <c r="L17" s="172"/>
    </row>
    <row r="18" spans="1:12" ht="15.6" x14ac:dyDescent="0.3">
      <c r="A18" s="230" t="s">
        <v>68</v>
      </c>
      <c r="B18" s="171" t="s">
        <v>260</v>
      </c>
      <c r="C18" s="172"/>
      <c r="D18" s="173"/>
      <c r="E18" s="172"/>
      <c r="F18" s="232"/>
      <c r="G18" s="172"/>
      <c r="H18" s="173"/>
      <c r="I18" s="172"/>
      <c r="J18" s="172"/>
      <c r="K18" s="173"/>
      <c r="L18" s="172"/>
    </row>
    <row r="19" spans="1:12" ht="135" x14ac:dyDescent="0.3">
      <c r="A19" s="230"/>
      <c r="B19" s="194" t="s">
        <v>261</v>
      </c>
      <c r="C19" s="175" t="s">
        <v>35</v>
      </c>
      <c r="D19" s="170" t="s">
        <v>253</v>
      </c>
      <c r="E19" s="175" t="s">
        <v>1</v>
      </c>
      <c r="F19" s="232"/>
      <c r="G19" s="177" t="s">
        <v>1</v>
      </c>
      <c r="H19" s="178"/>
      <c r="I19" s="177" t="s">
        <v>11</v>
      </c>
      <c r="J19" s="179" t="s">
        <v>35</v>
      </c>
      <c r="K19" s="180"/>
      <c r="L19" s="179" t="s">
        <v>1001</v>
      </c>
    </row>
    <row r="20" spans="1:12" ht="15.6" x14ac:dyDescent="0.3">
      <c r="A20" s="230"/>
      <c r="B20" s="170"/>
      <c r="C20" s="172"/>
      <c r="D20" s="173"/>
      <c r="E20" s="173"/>
      <c r="F20" s="232"/>
      <c r="G20" s="173"/>
      <c r="H20" s="173"/>
      <c r="I20" s="172"/>
      <c r="J20" s="172"/>
      <c r="K20" s="173"/>
      <c r="L20" s="172"/>
    </row>
    <row r="21" spans="1:12" ht="15.6" x14ac:dyDescent="0.3">
      <c r="A21" s="233" t="s">
        <v>72</v>
      </c>
      <c r="B21" s="171" t="s">
        <v>262</v>
      </c>
      <c r="C21" s="172"/>
      <c r="D21" s="173"/>
      <c r="E21" s="173"/>
      <c r="F21" s="232"/>
      <c r="G21" s="173"/>
      <c r="H21" s="173"/>
      <c r="I21" s="172"/>
      <c r="J21" s="172"/>
      <c r="K21" s="173"/>
      <c r="L21" s="172"/>
    </row>
    <row r="22" spans="1:12" ht="15.6" x14ac:dyDescent="0.3">
      <c r="A22" s="233"/>
      <c r="B22" s="194" t="s">
        <v>263</v>
      </c>
      <c r="C22" s="172"/>
      <c r="D22" s="173"/>
      <c r="E22" s="173"/>
      <c r="F22" s="232"/>
      <c r="G22" s="173"/>
      <c r="H22" s="173"/>
      <c r="I22" s="172"/>
      <c r="J22" s="172"/>
      <c r="K22" s="173"/>
      <c r="L22" s="172"/>
    </row>
    <row r="23" spans="1:12" ht="120" x14ac:dyDescent="0.3">
      <c r="A23" s="233"/>
      <c r="B23" s="195" t="s">
        <v>264</v>
      </c>
      <c r="C23" s="175" t="s">
        <v>35</v>
      </c>
      <c r="D23" s="170"/>
      <c r="E23" s="175" t="s">
        <v>1</v>
      </c>
      <c r="F23" s="232"/>
      <c r="G23" s="177" t="s">
        <v>1</v>
      </c>
      <c r="H23" s="178"/>
      <c r="I23" s="177" t="s">
        <v>11</v>
      </c>
      <c r="J23" s="179" t="s">
        <v>35</v>
      </c>
      <c r="K23" s="180"/>
      <c r="L23" s="179" t="s">
        <v>1001</v>
      </c>
    </row>
    <row r="24" spans="1:12" ht="165" x14ac:dyDescent="0.3">
      <c r="A24" s="233"/>
      <c r="B24" s="196" t="s">
        <v>265</v>
      </c>
      <c r="C24" s="175" t="s">
        <v>35</v>
      </c>
      <c r="D24" s="170"/>
      <c r="E24" s="175" t="s">
        <v>1</v>
      </c>
      <c r="F24" s="232"/>
      <c r="G24" s="177" t="s">
        <v>1</v>
      </c>
      <c r="H24" s="178"/>
      <c r="I24" s="177" t="s">
        <v>11</v>
      </c>
      <c r="J24" s="179" t="s">
        <v>35</v>
      </c>
      <c r="K24" s="180"/>
      <c r="L24" s="179" t="s">
        <v>1001</v>
      </c>
    </row>
    <row r="25" spans="1:12" ht="120" x14ac:dyDescent="0.3">
      <c r="A25" s="233"/>
      <c r="B25" s="196" t="s">
        <v>266</v>
      </c>
      <c r="C25" s="175" t="s">
        <v>35</v>
      </c>
      <c r="D25" s="170"/>
      <c r="E25" s="175" t="s">
        <v>1</v>
      </c>
      <c r="F25" s="232"/>
      <c r="G25" s="177" t="s">
        <v>1</v>
      </c>
      <c r="H25" s="178"/>
      <c r="I25" s="177" t="s">
        <v>11</v>
      </c>
      <c r="J25" s="179" t="s">
        <v>35</v>
      </c>
      <c r="K25" s="180"/>
      <c r="L25" s="179" t="s">
        <v>1001</v>
      </c>
    </row>
    <row r="26" spans="1:12" ht="195" x14ac:dyDescent="0.3">
      <c r="A26" s="233"/>
      <c r="B26" s="196" t="s">
        <v>267</v>
      </c>
      <c r="C26" s="175" t="s">
        <v>35</v>
      </c>
      <c r="D26" s="170"/>
      <c r="E26" s="175" t="s">
        <v>1</v>
      </c>
      <c r="F26" s="232"/>
      <c r="G26" s="177" t="s">
        <v>1</v>
      </c>
      <c r="H26" s="178"/>
      <c r="I26" s="177" t="s">
        <v>11</v>
      </c>
      <c r="J26" s="179" t="s">
        <v>35</v>
      </c>
      <c r="K26" s="180"/>
      <c r="L26" s="179" t="s">
        <v>1001</v>
      </c>
    </row>
    <row r="27" spans="1:12" ht="105" x14ac:dyDescent="0.3">
      <c r="A27" s="233"/>
      <c r="B27" s="176" t="s">
        <v>268</v>
      </c>
      <c r="C27" s="175" t="s">
        <v>35</v>
      </c>
      <c r="D27" s="170"/>
      <c r="E27" s="175" t="s">
        <v>1</v>
      </c>
      <c r="F27" s="232"/>
      <c r="G27" s="177" t="s">
        <v>1</v>
      </c>
      <c r="H27" s="178"/>
      <c r="I27" s="177" t="s">
        <v>11</v>
      </c>
      <c r="J27" s="179" t="s">
        <v>35</v>
      </c>
      <c r="K27" s="180"/>
      <c r="L27" s="179" t="s">
        <v>1001</v>
      </c>
    </row>
    <row r="28" spans="1:12" ht="60" x14ac:dyDescent="0.3">
      <c r="A28" s="233"/>
      <c r="B28" s="176" t="s">
        <v>269</v>
      </c>
      <c r="C28" s="175" t="s">
        <v>35</v>
      </c>
      <c r="D28" s="170"/>
      <c r="E28" s="175" t="s">
        <v>1</v>
      </c>
      <c r="F28" s="232"/>
      <c r="G28" s="177" t="s">
        <v>1</v>
      </c>
      <c r="H28" s="178"/>
      <c r="I28" s="177" t="s">
        <v>11</v>
      </c>
      <c r="J28" s="179" t="s">
        <v>35</v>
      </c>
      <c r="K28" s="180"/>
      <c r="L28" s="179" t="s">
        <v>1001</v>
      </c>
    </row>
    <row r="29" spans="1:12" ht="135" x14ac:dyDescent="0.3">
      <c r="A29" s="233"/>
      <c r="B29" s="194" t="s">
        <v>270</v>
      </c>
      <c r="C29" s="172"/>
      <c r="D29" s="173"/>
      <c r="E29" s="173"/>
      <c r="F29" s="232"/>
      <c r="G29" s="173"/>
      <c r="H29" s="173"/>
      <c r="I29" s="172"/>
      <c r="J29" s="172"/>
      <c r="K29" s="173"/>
      <c r="L29" s="172"/>
    </row>
    <row r="30" spans="1:12" s="20" customFormat="1" ht="60" x14ac:dyDescent="0.3">
      <c r="A30" s="233"/>
      <c r="B30" s="176" t="s">
        <v>271</v>
      </c>
      <c r="C30" s="33" t="s">
        <v>37</v>
      </c>
      <c r="D30" s="31" t="s">
        <v>253</v>
      </c>
      <c r="E30" s="33" t="s">
        <v>2</v>
      </c>
      <c r="F30" s="232"/>
      <c r="G30" s="34" t="s">
        <v>36</v>
      </c>
      <c r="H30" s="35" t="s">
        <v>272</v>
      </c>
      <c r="I30" s="34" t="s">
        <v>11</v>
      </c>
      <c r="J30" s="74"/>
      <c r="K30" s="74"/>
      <c r="L30" s="74" t="s">
        <v>1001</v>
      </c>
    </row>
    <row r="31" spans="1:12" s="20" customFormat="1" ht="75" x14ac:dyDescent="0.3">
      <c r="A31" s="233"/>
      <c r="B31" s="176" t="s">
        <v>273</v>
      </c>
      <c r="C31" s="33" t="s">
        <v>35</v>
      </c>
      <c r="D31" s="31"/>
      <c r="E31" s="33" t="s">
        <v>2</v>
      </c>
      <c r="F31" s="232"/>
      <c r="G31" s="34" t="s">
        <v>36</v>
      </c>
      <c r="H31" s="35" t="s">
        <v>272</v>
      </c>
      <c r="I31" s="34" t="s">
        <v>11</v>
      </c>
      <c r="J31" s="74"/>
      <c r="K31" s="74"/>
      <c r="L31" s="74" t="s">
        <v>1001</v>
      </c>
    </row>
    <row r="32" spans="1:12" ht="165" x14ac:dyDescent="0.3">
      <c r="A32" s="233"/>
      <c r="B32" s="194" t="s">
        <v>274</v>
      </c>
      <c r="C32" s="175" t="s">
        <v>35</v>
      </c>
      <c r="D32" s="170"/>
      <c r="E32" s="175" t="s">
        <v>1</v>
      </c>
      <c r="F32" s="232"/>
      <c r="G32" s="177" t="s">
        <v>2</v>
      </c>
      <c r="H32" s="178" t="s">
        <v>275</v>
      </c>
      <c r="I32" s="177" t="s">
        <v>11</v>
      </c>
      <c r="J32" s="179" t="s">
        <v>35</v>
      </c>
      <c r="K32" s="180"/>
      <c r="L32" s="179" t="s">
        <v>1001</v>
      </c>
    </row>
    <row r="33" spans="1:13" ht="150" x14ac:dyDescent="0.3">
      <c r="A33" s="233"/>
      <c r="B33" s="194" t="s">
        <v>276</v>
      </c>
      <c r="C33" s="175" t="s">
        <v>35</v>
      </c>
      <c r="D33" s="170"/>
      <c r="E33" s="175" t="s">
        <v>1</v>
      </c>
      <c r="F33" s="232"/>
      <c r="G33" s="177" t="s">
        <v>1</v>
      </c>
      <c r="H33" s="178"/>
      <c r="I33" s="177" t="s">
        <v>11</v>
      </c>
      <c r="J33" s="179" t="s">
        <v>35</v>
      </c>
      <c r="K33" s="180"/>
      <c r="L33" s="179" t="s">
        <v>1001</v>
      </c>
    </row>
    <row r="34" spans="1:13" ht="75" x14ac:dyDescent="0.3">
      <c r="A34" s="233"/>
      <c r="B34" s="194" t="s">
        <v>277</v>
      </c>
      <c r="C34" s="175" t="s">
        <v>35</v>
      </c>
      <c r="D34" s="170" t="s">
        <v>278</v>
      </c>
      <c r="E34" s="175" t="s">
        <v>1</v>
      </c>
      <c r="F34" s="232"/>
      <c r="G34" s="177" t="s">
        <v>1</v>
      </c>
      <c r="H34" s="178"/>
      <c r="I34" s="177" t="s">
        <v>11</v>
      </c>
      <c r="J34" s="179" t="s">
        <v>35</v>
      </c>
      <c r="K34" s="180"/>
      <c r="L34" s="179" t="s">
        <v>1001</v>
      </c>
    </row>
    <row r="35" spans="1:13" ht="150" x14ac:dyDescent="0.3">
      <c r="A35" s="233"/>
      <c r="B35" s="194" t="s">
        <v>279</v>
      </c>
      <c r="C35" s="175" t="s">
        <v>35</v>
      </c>
      <c r="D35" s="170"/>
      <c r="E35" s="175" t="s">
        <v>1</v>
      </c>
      <c r="F35" s="232"/>
      <c r="G35" s="177" t="s">
        <v>1</v>
      </c>
      <c r="H35" s="178" t="s">
        <v>280</v>
      </c>
      <c r="I35" s="177" t="s">
        <v>11</v>
      </c>
      <c r="J35" s="179" t="s">
        <v>35</v>
      </c>
      <c r="K35" s="180"/>
      <c r="L35" s="179" t="s">
        <v>35</v>
      </c>
      <c r="M35" s="174" t="s">
        <v>1003</v>
      </c>
    </row>
    <row r="36" spans="1:13" ht="120" x14ac:dyDescent="0.3">
      <c r="A36" s="233"/>
      <c r="B36" s="190" t="s">
        <v>281</v>
      </c>
      <c r="C36" s="175" t="s">
        <v>35</v>
      </c>
      <c r="D36" s="170"/>
      <c r="E36" s="175" t="s">
        <v>1</v>
      </c>
      <c r="F36" s="232"/>
      <c r="G36" s="177" t="s">
        <v>1</v>
      </c>
      <c r="H36" s="178"/>
      <c r="I36" s="177" t="s">
        <v>11</v>
      </c>
      <c r="J36" s="179" t="s">
        <v>35</v>
      </c>
      <c r="K36" s="180"/>
      <c r="L36" s="179" t="s">
        <v>1001</v>
      </c>
    </row>
    <row r="37" spans="1:13" ht="78" x14ac:dyDescent="0.3">
      <c r="A37" s="183"/>
      <c r="B37" s="184" t="s">
        <v>282</v>
      </c>
      <c r="C37" s="185" t="s">
        <v>40</v>
      </c>
      <c r="D37" s="186" t="s">
        <v>41</v>
      </c>
      <c r="E37" s="188"/>
      <c r="F37" s="188"/>
      <c r="G37" s="188"/>
      <c r="H37" s="189"/>
      <c r="I37" s="188"/>
      <c r="J37" s="188"/>
      <c r="K37" s="189"/>
      <c r="L37" s="188"/>
    </row>
    <row r="38" spans="1:13" s="20" customFormat="1" ht="75" x14ac:dyDescent="0.3">
      <c r="A38" s="33" t="s">
        <v>48</v>
      </c>
      <c r="B38" s="216" t="s">
        <v>283</v>
      </c>
      <c r="C38" s="33" t="s">
        <v>35</v>
      </c>
      <c r="D38" s="31" t="s">
        <v>284</v>
      </c>
      <c r="E38" s="33" t="s">
        <v>2</v>
      </c>
      <c r="F38" s="33"/>
      <c r="G38" s="34" t="s">
        <v>36</v>
      </c>
      <c r="H38" s="35" t="s">
        <v>285</v>
      </c>
      <c r="I38" s="34" t="s">
        <v>11</v>
      </c>
      <c r="J38" s="74"/>
      <c r="K38" s="74"/>
      <c r="L38" s="74"/>
    </row>
    <row r="39" spans="1:13" s="20" customFormat="1" ht="165" x14ac:dyDescent="0.3">
      <c r="A39" s="33" t="s">
        <v>131</v>
      </c>
      <c r="B39" s="190" t="s">
        <v>286</v>
      </c>
      <c r="C39" s="33" t="s">
        <v>35</v>
      </c>
      <c r="D39" s="31" t="s">
        <v>287</v>
      </c>
      <c r="E39" s="33" t="s">
        <v>2</v>
      </c>
      <c r="F39" s="33"/>
      <c r="G39" s="34" t="s">
        <v>36</v>
      </c>
      <c r="H39" s="35" t="s">
        <v>285</v>
      </c>
      <c r="I39" s="34" t="s">
        <v>11</v>
      </c>
      <c r="J39" s="74"/>
      <c r="K39" s="74"/>
      <c r="L39" s="74"/>
    </row>
    <row r="40" spans="1:13" ht="120" x14ac:dyDescent="0.3">
      <c r="A40" s="175" t="s">
        <v>55</v>
      </c>
      <c r="B40" s="190" t="s">
        <v>288</v>
      </c>
      <c r="C40" s="175" t="s">
        <v>35</v>
      </c>
      <c r="D40" s="170"/>
      <c r="E40" s="175" t="s">
        <v>1</v>
      </c>
      <c r="F40" s="175"/>
      <c r="G40" s="177" t="s">
        <v>1</v>
      </c>
      <c r="H40" s="178"/>
      <c r="I40" s="177" t="s">
        <v>11</v>
      </c>
      <c r="J40" s="179" t="s">
        <v>35</v>
      </c>
      <c r="K40" s="180"/>
      <c r="L40" s="179" t="s">
        <v>1001</v>
      </c>
    </row>
    <row r="41" spans="1:13" ht="60" x14ac:dyDescent="0.3">
      <c r="A41" s="175" t="s">
        <v>63</v>
      </c>
      <c r="B41" s="190" t="s">
        <v>289</v>
      </c>
      <c r="C41" s="175" t="s">
        <v>35</v>
      </c>
      <c r="D41" s="170" t="s">
        <v>290</v>
      </c>
      <c r="E41" s="175" t="s">
        <v>1</v>
      </c>
      <c r="F41" s="175"/>
      <c r="G41" s="177" t="s">
        <v>1</v>
      </c>
      <c r="H41" s="178"/>
      <c r="I41" s="177" t="s">
        <v>11</v>
      </c>
      <c r="J41" s="179" t="s">
        <v>35</v>
      </c>
      <c r="K41" s="180" t="s">
        <v>290</v>
      </c>
      <c r="L41" s="179" t="s">
        <v>1001</v>
      </c>
    </row>
    <row r="42" spans="1:13" ht="90" x14ac:dyDescent="0.3">
      <c r="A42" s="175" t="s">
        <v>146</v>
      </c>
      <c r="B42" s="190" t="s">
        <v>291</v>
      </c>
      <c r="C42" s="175" t="s">
        <v>35</v>
      </c>
      <c r="D42" s="170"/>
      <c r="E42" s="175" t="s">
        <v>2</v>
      </c>
      <c r="F42" s="175"/>
      <c r="G42" s="177" t="s">
        <v>2</v>
      </c>
      <c r="H42" s="178"/>
      <c r="I42" s="177" t="s">
        <v>11</v>
      </c>
      <c r="J42" s="179" t="s">
        <v>35</v>
      </c>
      <c r="K42" s="180"/>
      <c r="L42" s="179" t="s">
        <v>1001</v>
      </c>
    </row>
    <row r="43" spans="1:13" ht="90" x14ac:dyDescent="0.3">
      <c r="A43" s="175" t="s">
        <v>149</v>
      </c>
      <c r="B43" s="190" t="s">
        <v>292</v>
      </c>
      <c r="C43" s="175" t="s">
        <v>35</v>
      </c>
      <c r="D43" s="170"/>
      <c r="E43" s="175" t="s">
        <v>1</v>
      </c>
      <c r="F43" s="175"/>
      <c r="G43" s="177" t="s">
        <v>1</v>
      </c>
      <c r="H43" s="178"/>
      <c r="I43" s="177" t="s">
        <v>11</v>
      </c>
      <c r="J43" s="179" t="s">
        <v>35</v>
      </c>
      <c r="K43" s="180" t="s">
        <v>293</v>
      </c>
      <c r="L43" s="179" t="s">
        <v>1001</v>
      </c>
    </row>
    <row r="44" spans="1:13" ht="105" x14ac:dyDescent="0.3">
      <c r="A44" s="175" t="s">
        <v>151</v>
      </c>
      <c r="B44" s="190" t="s">
        <v>294</v>
      </c>
      <c r="C44" s="175" t="s">
        <v>35</v>
      </c>
      <c r="D44" s="170"/>
      <c r="E44" s="175" t="s">
        <v>1</v>
      </c>
      <c r="F44" s="175"/>
      <c r="G44" s="177" t="s">
        <v>1</v>
      </c>
      <c r="H44" s="178"/>
      <c r="I44" s="177" t="s">
        <v>11</v>
      </c>
      <c r="J44" s="179" t="s">
        <v>35</v>
      </c>
      <c r="K44" s="180" t="s">
        <v>295</v>
      </c>
      <c r="L44" s="179" t="s">
        <v>1001</v>
      </c>
    </row>
    <row r="45" spans="1:13" ht="90" x14ac:dyDescent="0.3">
      <c r="A45" s="175" t="s">
        <v>153</v>
      </c>
      <c r="B45" s="190" t="s">
        <v>296</v>
      </c>
      <c r="C45" s="175" t="s">
        <v>35</v>
      </c>
      <c r="D45" s="170"/>
      <c r="E45" s="175" t="s">
        <v>1</v>
      </c>
      <c r="F45" s="175"/>
      <c r="G45" s="177" t="s">
        <v>1</v>
      </c>
      <c r="H45" s="178" t="s">
        <v>297</v>
      </c>
      <c r="I45" s="177" t="s">
        <v>11</v>
      </c>
      <c r="J45" s="179" t="s">
        <v>35</v>
      </c>
      <c r="K45" s="180"/>
      <c r="L45" s="179" t="s">
        <v>1001</v>
      </c>
    </row>
    <row r="46" spans="1:13" ht="75" x14ac:dyDescent="0.3">
      <c r="A46" s="175" t="s">
        <v>155</v>
      </c>
      <c r="B46" s="190" t="s">
        <v>298</v>
      </c>
      <c r="C46" s="175" t="s">
        <v>35</v>
      </c>
      <c r="D46" s="170"/>
      <c r="E46" s="175" t="s">
        <v>1</v>
      </c>
      <c r="F46" s="175"/>
      <c r="G46" s="177" t="s">
        <v>1</v>
      </c>
      <c r="H46" s="178" t="s">
        <v>299</v>
      </c>
      <c r="I46" s="177" t="s">
        <v>11</v>
      </c>
      <c r="J46" s="179" t="s">
        <v>35</v>
      </c>
      <c r="K46" s="180"/>
      <c r="L46" s="179" t="s">
        <v>1001</v>
      </c>
    </row>
    <row r="47" spans="1:13" ht="75" x14ac:dyDescent="0.3">
      <c r="A47" s="175" t="s">
        <v>157</v>
      </c>
      <c r="B47" s="190" t="s">
        <v>300</v>
      </c>
      <c r="C47" s="175" t="s">
        <v>35</v>
      </c>
      <c r="D47" s="170"/>
      <c r="E47" s="175" t="s">
        <v>1</v>
      </c>
      <c r="F47" s="175"/>
      <c r="G47" s="177" t="s">
        <v>1</v>
      </c>
      <c r="H47" s="178"/>
      <c r="I47" s="177" t="s">
        <v>11</v>
      </c>
      <c r="J47" s="179" t="s">
        <v>35</v>
      </c>
      <c r="K47" s="180"/>
      <c r="L47" s="179" t="s">
        <v>1001</v>
      </c>
    </row>
    <row r="48" spans="1:13" ht="105" x14ac:dyDescent="0.3">
      <c r="A48" s="175" t="s">
        <v>159</v>
      </c>
      <c r="B48" s="190" t="s">
        <v>301</v>
      </c>
      <c r="C48" s="175" t="s">
        <v>35</v>
      </c>
      <c r="D48" s="170"/>
      <c r="E48" s="175" t="s">
        <v>1</v>
      </c>
      <c r="F48" s="175"/>
      <c r="G48" s="177" t="s">
        <v>1</v>
      </c>
      <c r="H48" s="178"/>
      <c r="I48" s="177" t="s">
        <v>11</v>
      </c>
      <c r="J48" s="179" t="s">
        <v>35</v>
      </c>
      <c r="K48" s="180"/>
      <c r="L48" s="179" t="s">
        <v>1001</v>
      </c>
    </row>
    <row r="49" spans="1:12" ht="60" x14ac:dyDescent="0.3">
      <c r="A49" s="175" t="s">
        <v>161</v>
      </c>
      <c r="B49" s="190" t="s">
        <v>302</v>
      </c>
      <c r="C49" s="175" t="s">
        <v>35</v>
      </c>
      <c r="D49" s="170"/>
      <c r="E49" s="175" t="s">
        <v>1</v>
      </c>
      <c r="F49" s="175"/>
      <c r="G49" s="177" t="s">
        <v>1</v>
      </c>
      <c r="H49" s="178"/>
      <c r="I49" s="177" t="s">
        <v>11</v>
      </c>
      <c r="J49" s="179" t="s">
        <v>35</v>
      </c>
      <c r="K49" s="180"/>
      <c r="L49" s="179" t="s">
        <v>1001</v>
      </c>
    </row>
    <row r="50" spans="1:12" ht="75" x14ac:dyDescent="0.3">
      <c r="A50" s="175" t="s">
        <v>164</v>
      </c>
      <c r="B50" s="190" t="s">
        <v>303</v>
      </c>
      <c r="C50" s="175" t="s">
        <v>35</v>
      </c>
      <c r="D50" s="170"/>
      <c r="E50" s="175" t="s">
        <v>1</v>
      </c>
      <c r="F50" s="175"/>
      <c r="G50" s="177" t="s">
        <v>1</v>
      </c>
      <c r="H50" s="178"/>
      <c r="I50" s="177" t="s">
        <v>11</v>
      </c>
      <c r="J50" s="179" t="s">
        <v>35</v>
      </c>
      <c r="K50" s="180"/>
      <c r="L50" s="179" t="s">
        <v>1001</v>
      </c>
    </row>
    <row r="51" spans="1:12" s="20" customFormat="1" ht="75" x14ac:dyDescent="0.3">
      <c r="A51" s="33" t="s">
        <v>167</v>
      </c>
      <c r="B51" s="190" t="s">
        <v>304</v>
      </c>
      <c r="C51" s="33" t="s">
        <v>35</v>
      </c>
      <c r="D51" s="31"/>
      <c r="E51" s="33" t="s">
        <v>1</v>
      </c>
      <c r="F51" s="33"/>
      <c r="G51" s="34" t="s">
        <v>36</v>
      </c>
      <c r="H51" s="35" t="s">
        <v>305</v>
      </c>
      <c r="I51" s="34" t="s">
        <v>11</v>
      </c>
      <c r="J51" s="74"/>
      <c r="K51" s="74"/>
      <c r="L51" s="74" t="s">
        <v>1001</v>
      </c>
    </row>
    <row r="52" spans="1:12" s="20" customFormat="1" ht="105" x14ac:dyDescent="0.3">
      <c r="A52" s="33" t="s">
        <v>169</v>
      </c>
      <c r="B52" s="190" t="s">
        <v>306</v>
      </c>
      <c r="C52" s="33" t="s">
        <v>35</v>
      </c>
      <c r="D52" s="31"/>
      <c r="E52" s="33" t="s">
        <v>1</v>
      </c>
      <c r="F52" s="33"/>
      <c r="G52" s="34" t="s">
        <v>36</v>
      </c>
      <c r="H52" s="35" t="s">
        <v>305</v>
      </c>
      <c r="I52" s="34" t="s">
        <v>11</v>
      </c>
      <c r="J52" s="74"/>
      <c r="K52" s="74"/>
      <c r="L52" s="74" t="s">
        <v>1001</v>
      </c>
    </row>
    <row r="53" spans="1:12" ht="75" x14ac:dyDescent="0.3">
      <c r="A53" s="175" t="s">
        <v>172</v>
      </c>
      <c r="B53" s="190" t="s">
        <v>307</v>
      </c>
      <c r="C53" s="175" t="s">
        <v>35</v>
      </c>
      <c r="D53" s="170"/>
      <c r="E53" s="175" t="s">
        <v>1</v>
      </c>
      <c r="F53" s="175"/>
      <c r="G53" s="177" t="s">
        <v>1</v>
      </c>
      <c r="H53" s="178"/>
      <c r="I53" s="177" t="s">
        <v>11</v>
      </c>
      <c r="J53" s="179" t="s">
        <v>35</v>
      </c>
      <c r="K53" s="180"/>
      <c r="L53" s="179" t="s">
        <v>1001</v>
      </c>
    </row>
    <row r="54" spans="1:12" s="20" customFormat="1" ht="75" x14ac:dyDescent="0.3">
      <c r="A54" s="33" t="s">
        <v>174</v>
      </c>
      <c r="B54" s="190" t="s">
        <v>308</v>
      </c>
      <c r="C54" s="33" t="s">
        <v>35</v>
      </c>
      <c r="D54" s="31"/>
      <c r="E54" s="33" t="s">
        <v>1</v>
      </c>
      <c r="F54" s="33"/>
      <c r="G54" s="34" t="s">
        <v>36</v>
      </c>
      <c r="H54" s="35" t="s">
        <v>305</v>
      </c>
      <c r="I54" s="34" t="s">
        <v>11</v>
      </c>
      <c r="J54" s="74"/>
      <c r="K54" s="74"/>
      <c r="L54" s="74" t="s">
        <v>1001</v>
      </c>
    </row>
    <row r="55" spans="1:12" s="20" customFormat="1" ht="120" x14ac:dyDescent="0.3">
      <c r="A55" s="33" t="s">
        <v>177</v>
      </c>
      <c r="B55" s="190" t="s">
        <v>309</v>
      </c>
      <c r="C55" s="33" t="s">
        <v>35</v>
      </c>
      <c r="D55" s="31"/>
      <c r="E55" s="33" t="s">
        <v>2</v>
      </c>
      <c r="F55" s="33"/>
      <c r="G55" s="34" t="s">
        <v>36</v>
      </c>
      <c r="H55" s="35" t="s">
        <v>305</v>
      </c>
      <c r="I55" s="34" t="s">
        <v>11</v>
      </c>
      <c r="J55" s="74"/>
      <c r="K55" s="74"/>
      <c r="L55" s="74" t="s">
        <v>1001</v>
      </c>
    </row>
    <row r="56" spans="1:12" ht="105" x14ac:dyDescent="0.3">
      <c r="A56" s="175" t="s">
        <v>310</v>
      </c>
      <c r="B56" s="190" t="s">
        <v>311</v>
      </c>
      <c r="C56" s="175" t="s">
        <v>35</v>
      </c>
      <c r="D56" s="170"/>
      <c r="E56" s="175" t="s">
        <v>2</v>
      </c>
      <c r="F56" s="175"/>
      <c r="G56" s="177" t="s">
        <v>2</v>
      </c>
      <c r="H56" s="178" t="s">
        <v>312</v>
      </c>
      <c r="I56" s="177" t="s">
        <v>11</v>
      </c>
      <c r="J56" s="179" t="s">
        <v>35</v>
      </c>
      <c r="K56" s="180"/>
      <c r="L56" s="179" t="s">
        <v>1001</v>
      </c>
    </row>
    <row r="57" spans="1:12" s="20" customFormat="1" ht="135" x14ac:dyDescent="0.3">
      <c r="A57" s="33" t="s">
        <v>313</v>
      </c>
      <c r="B57" s="190" t="s">
        <v>314</v>
      </c>
      <c r="C57" s="33" t="s">
        <v>35</v>
      </c>
      <c r="D57" s="31"/>
      <c r="E57" s="33" t="s">
        <v>1</v>
      </c>
      <c r="F57" s="33"/>
      <c r="G57" s="34" t="s">
        <v>36</v>
      </c>
      <c r="H57" s="35" t="s">
        <v>315</v>
      </c>
      <c r="I57" s="34" t="s">
        <v>11</v>
      </c>
      <c r="J57" s="74"/>
      <c r="K57" s="74"/>
      <c r="L57" s="74" t="s">
        <v>1001</v>
      </c>
    </row>
    <row r="58" spans="1:12" s="20" customFormat="1" ht="135" x14ac:dyDescent="0.3">
      <c r="A58" s="33" t="s">
        <v>316</v>
      </c>
      <c r="B58" s="190" t="s">
        <v>317</v>
      </c>
      <c r="C58" s="33" t="s">
        <v>35</v>
      </c>
      <c r="D58" s="31"/>
      <c r="E58" s="33" t="s">
        <v>2</v>
      </c>
      <c r="F58" s="33"/>
      <c r="G58" s="34" t="s">
        <v>36</v>
      </c>
      <c r="H58" s="35"/>
      <c r="I58" s="34" t="s">
        <v>11</v>
      </c>
      <c r="J58" s="74"/>
      <c r="K58" s="74"/>
      <c r="L58" s="74" t="s">
        <v>1001</v>
      </c>
    </row>
    <row r="59" spans="1:12" ht="135" x14ac:dyDescent="0.3">
      <c r="A59" s="175"/>
      <c r="B59" s="190" t="s">
        <v>318</v>
      </c>
      <c r="C59" s="175" t="s">
        <v>35</v>
      </c>
      <c r="D59" s="170" t="s">
        <v>253</v>
      </c>
      <c r="E59" s="175" t="s">
        <v>1</v>
      </c>
      <c r="F59" s="175"/>
      <c r="G59" s="177" t="s">
        <v>1</v>
      </c>
      <c r="H59" s="178"/>
      <c r="I59" s="177" t="s">
        <v>11</v>
      </c>
      <c r="J59" s="179" t="s">
        <v>35</v>
      </c>
      <c r="K59" s="180"/>
      <c r="L59" s="179" t="s">
        <v>1001</v>
      </c>
    </row>
    <row r="60" spans="1:12" ht="135" x14ac:dyDescent="0.3">
      <c r="A60" s="175"/>
      <c r="B60" s="190" t="s">
        <v>319</v>
      </c>
      <c r="C60" s="175" t="s">
        <v>35</v>
      </c>
      <c r="D60" s="170"/>
      <c r="E60" s="175" t="s">
        <v>1</v>
      </c>
      <c r="F60" s="175"/>
      <c r="G60" s="177" t="s">
        <v>1</v>
      </c>
      <c r="H60" s="178"/>
      <c r="I60" s="177" t="s">
        <v>11</v>
      </c>
      <c r="J60" s="179" t="s">
        <v>35</v>
      </c>
      <c r="K60" s="180"/>
      <c r="L60" s="179" t="s">
        <v>1001</v>
      </c>
    </row>
    <row r="61" spans="1:12" ht="60" x14ac:dyDescent="0.3">
      <c r="A61" s="175"/>
      <c r="B61" s="190" t="s">
        <v>320</v>
      </c>
      <c r="C61" s="175" t="s">
        <v>35</v>
      </c>
      <c r="D61" s="170"/>
      <c r="E61" s="175" t="s">
        <v>1</v>
      </c>
      <c r="F61" s="175"/>
      <c r="G61" s="177" t="s">
        <v>1</v>
      </c>
      <c r="H61" s="178"/>
      <c r="I61" s="177" t="s">
        <v>11</v>
      </c>
      <c r="J61" s="179" t="s">
        <v>35</v>
      </c>
      <c r="K61" s="180"/>
      <c r="L61" s="179" t="s">
        <v>1001</v>
      </c>
    </row>
    <row r="62" spans="1:12" ht="150" x14ac:dyDescent="0.3">
      <c r="A62" s="175"/>
      <c r="B62" s="190" t="s">
        <v>321</v>
      </c>
      <c r="C62" s="175" t="s">
        <v>35</v>
      </c>
      <c r="D62" s="170"/>
      <c r="E62" s="175" t="s">
        <v>2</v>
      </c>
      <c r="F62" s="215"/>
      <c r="G62" s="177" t="s">
        <v>2</v>
      </c>
      <c r="H62" s="178" t="s">
        <v>322</v>
      </c>
      <c r="I62" s="177" t="s">
        <v>11</v>
      </c>
      <c r="J62" s="179" t="s">
        <v>35</v>
      </c>
      <c r="K62" s="180"/>
      <c r="L62" s="179" t="s">
        <v>1001</v>
      </c>
    </row>
    <row r="63" spans="1:12" s="20" customFormat="1" ht="135" x14ac:dyDescent="0.3">
      <c r="A63" s="33"/>
      <c r="B63" s="190" t="s">
        <v>323</v>
      </c>
      <c r="C63" s="33" t="s">
        <v>35</v>
      </c>
      <c r="D63" s="31"/>
      <c r="E63" s="33" t="s">
        <v>1</v>
      </c>
      <c r="F63" s="33"/>
      <c r="G63" s="34" t="s">
        <v>36</v>
      </c>
      <c r="H63" s="35"/>
      <c r="I63" s="34" t="s">
        <v>11</v>
      </c>
      <c r="J63" s="74"/>
      <c r="K63" s="74"/>
      <c r="L63" s="74" t="s">
        <v>1001</v>
      </c>
    </row>
    <row r="64" spans="1:12" s="20" customFormat="1" ht="105" x14ac:dyDescent="0.3">
      <c r="A64" s="33"/>
      <c r="B64" s="190" t="s">
        <v>324</v>
      </c>
      <c r="C64" s="33" t="s">
        <v>35</v>
      </c>
      <c r="D64" s="31"/>
      <c r="E64" s="33" t="s">
        <v>1</v>
      </c>
      <c r="F64" s="33"/>
      <c r="G64" s="34" t="s">
        <v>36</v>
      </c>
      <c r="H64" s="35" t="s">
        <v>127</v>
      </c>
      <c r="I64" s="34" t="s">
        <v>11</v>
      </c>
      <c r="J64" s="74"/>
      <c r="K64" s="74"/>
      <c r="L64" s="74" t="s">
        <v>1001</v>
      </c>
    </row>
    <row r="65" spans="1:13" ht="75" x14ac:dyDescent="0.3">
      <c r="A65" s="175"/>
      <c r="B65" s="190" t="s">
        <v>325</v>
      </c>
      <c r="C65" s="175" t="s">
        <v>35</v>
      </c>
      <c r="D65" s="170"/>
      <c r="E65" s="175" t="s">
        <v>1</v>
      </c>
      <c r="F65" s="175"/>
      <c r="G65" s="177" t="s">
        <v>1</v>
      </c>
      <c r="H65" s="178"/>
      <c r="I65" s="177" t="s">
        <v>11</v>
      </c>
      <c r="J65" s="179" t="s">
        <v>35</v>
      </c>
      <c r="K65" s="180"/>
      <c r="L65" s="179" t="s">
        <v>1001</v>
      </c>
    </row>
    <row r="66" spans="1:13" ht="105" x14ac:dyDescent="0.3">
      <c r="A66" s="175"/>
      <c r="B66" s="190" t="s">
        <v>326</v>
      </c>
      <c r="C66" s="175" t="s">
        <v>35</v>
      </c>
      <c r="D66" s="170"/>
      <c r="E66" s="175" t="s">
        <v>2</v>
      </c>
      <c r="F66" s="175"/>
      <c r="G66" s="177" t="s">
        <v>2</v>
      </c>
      <c r="H66" s="178" t="s">
        <v>327</v>
      </c>
      <c r="I66" s="177" t="s">
        <v>11</v>
      </c>
      <c r="J66" s="179" t="s">
        <v>35</v>
      </c>
      <c r="K66" s="180"/>
      <c r="L66" s="179" t="s">
        <v>1001</v>
      </c>
    </row>
    <row r="67" spans="1:13" ht="105" x14ac:dyDescent="0.3">
      <c r="A67" s="175"/>
      <c r="B67" s="190" t="s">
        <v>328</v>
      </c>
      <c r="C67" s="175" t="s">
        <v>35</v>
      </c>
      <c r="D67" s="170"/>
      <c r="E67" s="175" t="s">
        <v>1</v>
      </c>
      <c r="F67" s="175"/>
      <c r="G67" s="177" t="s">
        <v>1</v>
      </c>
      <c r="H67" s="178"/>
      <c r="I67" s="177" t="s">
        <v>11</v>
      </c>
      <c r="J67" s="179" t="s">
        <v>35</v>
      </c>
      <c r="K67" s="180"/>
      <c r="L67" s="179" t="s">
        <v>1001</v>
      </c>
    </row>
    <row r="68" spans="1:13" ht="75" x14ac:dyDescent="0.3">
      <c r="A68" s="175"/>
      <c r="B68" s="190" t="s">
        <v>329</v>
      </c>
      <c r="C68" s="175" t="s">
        <v>35</v>
      </c>
      <c r="D68" s="170"/>
      <c r="E68" s="175" t="s">
        <v>1</v>
      </c>
      <c r="F68" s="175"/>
      <c r="G68" s="177" t="s">
        <v>1</v>
      </c>
      <c r="H68" s="178"/>
      <c r="I68" s="177" t="s">
        <v>11</v>
      </c>
      <c r="J68" s="179" t="s">
        <v>35</v>
      </c>
      <c r="K68" s="180"/>
      <c r="L68" s="179" t="s">
        <v>1001</v>
      </c>
    </row>
    <row r="69" spans="1:13" ht="165" x14ac:dyDescent="0.3">
      <c r="A69" s="175"/>
      <c r="B69" s="190" t="s">
        <v>330</v>
      </c>
      <c r="C69" s="175" t="s">
        <v>35</v>
      </c>
      <c r="D69" s="170"/>
      <c r="E69" s="175" t="s">
        <v>2</v>
      </c>
      <c r="F69" s="175"/>
      <c r="G69" s="177" t="s">
        <v>2</v>
      </c>
      <c r="H69" s="178"/>
      <c r="I69" s="177" t="s">
        <v>11</v>
      </c>
      <c r="J69" s="179" t="s">
        <v>35</v>
      </c>
      <c r="K69" s="180" t="s">
        <v>331</v>
      </c>
      <c r="L69" s="179" t="s">
        <v>1001</v>
      </c>
    </row>
    <row r="70" spans="1:13" ht="135" x14ac:dyDescent="0.3">
      <c r="A70" s="175"/>
      <c r="B70" s="190" t="s">
        <v>332</v>
      </c>
      <c r="C70" s="175" t="s">
        <v>35</v>
      </c>
      <c r="D70" s="170"/>
      <c r="E70" s="175" t="s">
        <v>2</v>
      </c>
      <c r="F70" s="175"/>
      <c r="G70" s="177" t="s">
        <v>2</v>
      </c>
      <c r="H70" s="178" t="s">
        <v>333</v>
      </c>
      <c r="I70" s="177" t="s">
        <v>11</v>
      </c>
      <c r="J70" s="179" t="s">
        <v>35</v>
      </c>
      <c r="K70" s="180"/>
      <c r="L70" s="179" t="s">
        <v>1001</v>
      </c>
    </row>
    <row r="71" spans="1:13" ht="120" x14ac:dyDescent="0.3">
      <c r="A71" s="175"/>
      <c r="B71" s="190" t="s">
        <v>334</v>
      </c>
      <c r="C71" s="175" t="s">
        <v>35</v>
      </c>
      <c r="D71" s="170"/>
      <c r="E71" s="175" t="s">
        <v>1</v>
      </c>
      <c r="F71" s="175"/>
      <c r="G71" s="177" t="s">
        <v>1</v>
      </c>
      <c r="H71" s="178"/>
      <c r="I71" s="177" t="s">
        <v>11</v>
      </c>
      <c r="J71" s="179" t="s">
        <v>35</v>
      </c>
      <c r="K71" s="180"/>
      <c r="L71" s="179" t="s">
        <v>1001</v>
      </c>
    </row>
    <row r="72" spans="1:13" s="20" customFormat="1" ht="45" x14ac:dyDescent="0.3">
      <c r="A72" s="33"/>
      <c r="B72" s="190" t="s">
        <v>335</v>
      </c>
      <c r="C72" s="33" t="s">
        <v>35</v>
      </c>
      <c r="D72" s="31"/>
      <c r="E72" s="33" t="s">
        <v>2</v>
      </c>
      <c r="F72" s="33"/>
      <c r="G72" s="34" t="s">
        <v>36</v>
      </c>
      <c r="H72" s="35" t="s">
        <v>305</v>
      </c>
      <c r="I72" s="34" t="s">
        <v>11</v>
      </c>
      <c r="J72" s="74"/>
      <c r="K72" s="74"/>
      <c r="L72" s="74" t="s">
        <v>1001</v>
      </c>
    </row>
    <row r="73" spans="1:13" ht="105" x14ac:dyDescent="0.3">
      <c r="A73" s="175"/>
      <c r="B73" s="190" t="s">
        <v>336</v>
      </c>
      <c r="C73" s="175" t="s">
        <v>37</v>
      </c>
      <c r="D73" s="170" t="s">
        <v>253</v>
      </c>
      <c r="E73" s="175" t="s">
        <v>2</v>
      </c>
      <c r="F73" s="175"/>
      <c r="G73" s="177" t="s">
        <v>2</v>
      </c>
      <c r="H73" s="178" t="s">
        <v>337</v>
      </c>
      <c r="I73" s="177" t="s">
        <v>11</v>
      </c>
      <c r="J73" s="179" t="s">
        <v>35</v>
      </c>
      <c r="K73" s="180" t="s">
        <v>337</v>
      </c>
      <c r="L73" s="179" t="s">
        <v>1001</v>
      </c>
    </row>
    <row r="74" spans="1:13" ht="90" x14ac:dyDescent="0.3">
      <c r="A74" s="175"/>
      <c r="B74" s="190" t="s">
        <v>338</v>
      </c>
      <c r="C74" s="175" t="s">
        <v>35</v>
      </c>
      <c r="D74" s="170"/>
      <c r="E74" s="175" t="s">
        <v>1</v>
      </c>
      <c r="F74" s="175"/>
      <c r="G74" s="177" t="s">
        <v>1</v>
      </c>
      <c r="H74" s="178"/>
      <c r="I74" s="177" t="s">
        <v>11</v>
      </c>
      <c r="J74" s="179" t="s">
        <v>35</v>
      </c>
      <c r="K74" s="180"/>
      <c r="L74" s="179" t="s">
        <v>1001</v>
      </c>
    </row>
    <row r="75" spans="1:13" ht="90" x14ac:dyDescent="0.3">
      <c r="A75" s="175"/>
      <c r="B75" s="190" t="s">
        <v>339</v>
      </c>
      <c r="C75" s="175" t="s">
        <v>35</v>
      </c>
      <c r="D75" s="170"/>
      <c r="E75" s="175" t="s">
        <v>1</v>
      </c>
      <c r="F75" s="175"/>
      <c r="G75" s="177" t="s">
        <v>1</v>
      </c>
      <c r="H75" s="178" t="s">
        <v>340</v>
      </c>
      <c r="I75" s="177" t="s">
        <v>11</v>
      </c>
      <c r="J75" s="179" t="s">
        <v>35</v>
      </c>
      <c r="K75" s="180" t="s">
        <v>341</v>
      </c>
      <c r="L75" s="179" t="s">
        <v>1001</v>
      </c>
    </row>
    <row r="76" spans="1:13" ht="120" x14ac:dyDescent="0.3">
      <c r="A76" s="175"/>
      <c r="B76" s="190" t="s">
        <v>342</v>
      </c>
      <c r="C76" s="175" t="s">
        <v>35</v>
      </c>
      <c r="D76" s="170"/>
      <c r="E76" s="175" t="s">
        <v>1</v>
      </c>
      <c r="F76" s="175"/>
      <c r="G76" s="177" t="s">
        <v>1</v>
      </c>
      <c r="H76" s="178"/>
      <c r="I76" s="177" t="s">
        <v>11</v>
      </c>
      <c r="J76" s="179" t="s">
        <v>35</v>
      </c>
      <c r="K76" s="180"/>
      <c r="L76" s="179" t="s">
        <v>1001</v>
      </c>
    </row>
    <row r="77" spans="1:13" s="20" customFormat="1" ht="135" x14ac:dyDescent="0.3">
      <c r="A77" s="33"/>
      <c r="B77" s="190" t="s">
        <v>343</v>
      </c>
      <c r="C77" s="33" t="s">
        <v>35</v>
      </c>
      <c r="D77" s="31"/>
      <c r="E77" s="33" t="s">
        <v>1</v>
      </c>
      <c r="F77" s="33"/>
      <c r="G77" s="34" t="s">
        <v>36</v>
      </c>
      <c r="H77" s="35" t="s">
        <v>344</v>
      </c>
      <c r="I77" s="34" t="s">
        <v>11</v>
      </c>
      <c r="J77" s="74"/>
      <c r="K77" s="74"/>
      <c r="L77" s="74" t="s">
        <v>1001</v>
      </c>
    </row>
    <row r="78" spans="1:13" ht="135" x14ac:dyDescent="0.3">
      <c r="A78" s="170"/>
      <c r="B78" s="190" t="s">
        <v>345</v>
      </c>
      <c r="C78" s="175" t="s">
        <v>35</v>
      </c>
      <c r="D78" s="170" t="s">
        <v>253</v>
      </c>
      <c r="E78" s="175" t="s">
        <v>1</v>
      </c>
      <c r="F78" s="175"/>
      <c r="G78" s="177" t="s">
        <v>1</v>
      </c>
      <c r="H78" s="178" t="s">
        <v>346</v>
      </c>
      <c r="I78" s="177" t="s">
        <v>11</v>
      </c>
      <c r="J78" s="179" t="s">
        <v>35</v>
      </c>
      <c r="K78" s="180" t="s">
        <v>347</v>
      </c>
      <c r="L78" s="179" t="s">
        <v>1001</v>
      </c>
      <c r="M78" s="174" t="s">
        <v>1002</v>
      </c>
    </row>
    <row r="79" spans="1:13" s="20" customFormat="1" ht="105" x14ac:dyDescent="0.3">
      <c r="A79" s="31"/>
      <c r="B79" s="190" t="s">
        <v>348</v>
      </c>
      <c r="C79" s="33" t="s">
        <v>35</v>
      </c>
      <c r="D79" s="31"/>
      <c r="E79" s="33" t="s">
        <v>1</v>
      </c>
      <c r="F79" s="33"/>
      <c r="G79" s="34" t="s">
        <v>36</v>
      </c>
      <c r="H79" s="35" t="s">
        <v>305</v>
      </c>
      <c r="I79" s="34" t="s">
        <v>11</v>
      </c>
      <c r="J79" s="74"/>
      <c r="K79" s="74"/>
      <c r="L79" s="74" t="s">
        <v>1001</v>
      </c>
    </row>
    <row r="80" spans="1:13" ht="75" x14ac:dyDescent="0.3">
      <c r="A80" s="170"/>
      <c r="B80" s="190" t="s">
        <v>349</v>
      </c>
      <c r="C80" s="175" t="s">
        <v>35</v>
      </c>
      <c r="D80" s="170"/>
      <c r="E80" s="175" t="s">
        <v>1</v>
      </c>
      <c r="F80" s="175"/>
      <c r="G80" s="177" t="s">
        <v>1</v>
      </c>
      <c r="H80" s="178" t="s">
        <v>350</v>
      </c>
      <c r="I80" s="177" t="s">
        <v>11</v>
      </c>
      <c r="J80" s="179" t="s">
        <v>35</v>
      </c>
      <c r="K80" s="180" t="s">
        <v>347</v>
      </c>
      <c r="L80" s="179" t="s">
        <v>1001</v>
      </c>
    </row>
    <row r="81" spans="1:12" ht="78" x14ac:dyDescent="0.3">
      <c r="A81" s="183"/>
      <c r="B81" s="184" t="s">
        <v>351</v>
      </c>
      <c r="C81" s="185" t="s">
        <v>40</v>
      </c>
      <c r="D81" s="186" t="s">
        <v>41</v>
      </c>
      <c r="E81" s="188"/>
      <c r="F81" s="188"/>
      <c r="G81" s="188"/>
      <c r="H81" s="189"/>
      <c r="I81" s="188"/>
      <c r="J81" s="188"/>
      <c r="K81" s="189"/>
      <c r="L81" s="188"/>
    </row>
    <row r="82" spans="1:12" ht="135" x14ac:dyDescent="0.3">
      <c r="A82" s="175" t="s">
        <v>48</v>
      </c>
      <c r="B82" s="190" t="s">
        <v>352</v>
      </c>
      <c r="C82" s="175" t="s">
        <v>35</v>
      </c>
      <c r="D82" s="170" t="s">
        <v>353</v>
      </c>
      <c r="E82" s="175" t="s">
        <v>1</v>
      </c>
      <c r="F82" s="175"/>
      <c r="G82" s="177" t="s">
        <v>1</v>
      </c>
      <c r="H82" s="178"/>
      <c r="I82" s="177" t="s">
        <v>11</v>
      </c>
      <c r="J82" s="179" t="s">
        <v>35</v>
      </c>
      <c r="K82" s="180" t="s">
        <v>354</v>
      </c>
      <c r="L82" s="179" t="s">
        <v>1001</v>
      </c>
    </row>
    <row r="83" spans="1:12" ht="90" x14ac:dyDescent="0.3">
      <c r="A83" s="175" t="s">
        <v>131</v>
      </c>
      <c r="B83" s="190" t="s">
        <v>355</v>
      </c>
      <c r="C83" s="175" t="s">
        <v>35</v>
      </c>
      <c r="D83" s="170"/>
      <c r="E83" s="175" t="s">
        <v>1</v>
      </c>
      <c r="F83" s="175"/>
      <c r="G83" s="177" t="s">
        <v>1</v>
      </c>
      <c r="H83" s="178"/>
      <c r="I83" s="177" t="s">
        <v>11</v>
      </c>
      <c r="J83" s="179" t="s">
        <v>35</v>
      </c>
      <c r="K83" s="180"/>
      <c r="L83" s="179" t="s">
        <v>1001</v>
      </c>
    </row>
    <row r="84" spans="1:12" ht="135" x14ac:dyDescent="0.3">
      <c r="A84" s="175" t="s">
        <v>55</v>
      </c>
      <c r="B84" s="190" t="s">
        <v>356</v>
      </c>
      <c r="C84" s="175" t="s">
        <v>35</v>
      </c>
      <c r="D84" s="170"/>
      <c r="E84" s="175" t="s">
        <v>1</v>
      </c>
      <c r="F84" s="175"/>
      <c r="G84" s="177" t="s">
        <v>1</v>
      </c>
      <c r="H84" s="178"/>
      <c r="I84" s="177" t="s">
        <v>11</v>
      </c>
      <c r="J84" s="179" t="s">
        <v>35</v>
      </c>
      <c r="K84" s="180"/>
      <c r="L84" s="179" t="s">
        <v>1001</v>
      </c>
    </row>
    <row r="85" spans="1:12" ht="75" x14ac:dyDescent="0.3">
      <c r="A85" s="175" t="s">
        <v>63</v>
      </c>
      <c r="B85" s="190" t="s">
        <v>357</v>
      </c>
      <c r="C85" s="175" t="s">
        <v>35</v>
      </c>
      <c r="D85" s="170"/>
      <c r="E85" s="175" t="s">
        <v>1</v>
      </c>
      <c r="F85" s="175"/>
      <c r="G85" s="177" t="s">
        <v>1</v>
      </c>
      <c r="H85" s="178"/>
      <c r="I85" s="177" t="s">
        <v>11</v>
      </c>
      <c r="J85" s="179" t="s">
        <v>35</v>
      </c>
      <c r="K85" s="180"/>
      <c r="L85" s="179" t="s">
        <v>1001</v>
      </c>
    </row>
    <row r="86" spans="1:12" ht="210" x14ac:dyDescent="0.3">
      <c r="A86" s="175" t="s">
        <v>146</v>
      </c>
      <c r="B86" s="216" t="s">
        <v>358</v>
      </c>
      <c r="C86" s="175" t="s">
        <v>35</v>
      </c>
      <c r="D86" s="170" t="s">
        <v>353</v>
      </c>
      <c r="E86" s="175" t="s">
        <v>1</v>
      </c>
      <c r="F86" s="175"/>
      <c r="G86" s="177" t="s">
        <v>1</v>
      </c>
      <c r="H86" s="178"/>
      <c r="I86" s="177" t="s">
        <v>11</v>
      </c>
      <c r="J86" s="179" t="s">
        <v>35</v>
      </c>
      <c r="K86" s="180"/>
      <c r="L86" s="179" t="s">
        <v>1001</v>
      </c>
    </row>
    <row r="87" spans="1:12" s="20" customFormat="1" ht="90" x14ac:dyDescent="0.3">
      <c r="A87" s="33" t="s">
        <v>149</v>
      </c>
      <c r="B87" s="190" t="s">
        <v>359</v>
      </c>
      <c r="C87" s="33" t="s">
        <v>35</v>
      </c>
      <c r="D87" s="31"/>
      <c r="E87" s="33" t="s">
        <v>1</v>
      </c>
      <c r="F87" s="33"/>
      <c r="G87" s="34" t="s">
        <v>36</v>
      </c>
      <c r="H87" s="35" t="s">
        <v>360</v>
      </c>
      <c r="I87" s="34" t="s">
        <v>11</v>
      </c>
      <c r="J87" s="74"/>
      <c r="K87" s="74"/>
      <c r="L87" s="74" t="s">
        <v>1001</v>
      </c>
    </row>
    <row r="88" spans="1:12" ht="135" x14ac:dyDescent="0.3">
      <c r="A88" s="175" t="s">
        <v>151</v>
      </c>
      <c r="B88" s="190" t="s">
        <v>361</v>
      </c>
      <c r="C88" s="175" t="s">
        <v>35</v>
      </c>
      <c r="D88" s="170"/>
      <c r="E88" s="175" t="s">
        <v>1</v>
      </c>
      <c r="F88" s="175"/>
      <c r="G88" s="177" t="s">
        <v>1</v>
      </c>
      <c r="H88" s="178"/>
      <c r="I88" s="177" t="s">
        <v>11</v>
      </c>
      <c r="J88" s="179" t="s">
        <v>35</v>
      </c>
      <c r="K88" s="180"/>
      <c r="L88" s="179" t="s">
        <v>1001</v>
      </c>
    </row>
    <row r="89" spans="1:12" ht="60" x14ac:dyDescent="0.3">
      <c r="A89" s="175" t="s">
        <v>153</v>
      </c>
      <c r="B89" s="190" t="s">
        <v>362</v>
      </c>
      <c r="C89" s="175" t="s">
        <v>35</v>
      </c>
      <c r="D89" s="170"/>
      <c r="E89" s="175" t="s">
        <v>1</v>
      </c>
      <c r="F89" s="175"/>
      <c r="G89" s="177" t="s">
        <v>1</v>
      </c>
      <c r="H89" s="178"/>
      <c r="I89" s="177" t="s">
        <v>11</v>
      </c>
      <c r="J89" s="179" t="s">
        <v>35</v>
      </c>
      <c r="K89" s="180"/>
      <c r="L89" s="179" t="s">
        <v>1001</v>
      </c>
    </row>
    <row r="90" spans="1:12" ht="90" x14ac:dyDescent="0.3">
      <c r="A90" s="175" t="s">
        <v>155</v>
      </c>
      <c r="B90" s="190" t="s">
        <v>363</v>
      </c>
      <c r="C90" s="175" t="s">
        <v>35</v>
      </c>
      <c r="D90" s="170"/>
      <c r="E90" s="175" t="s">
        <v>1</v>
      </c>
      <c r="F90" s="175"/>
      <c r="G90" s="177" t="s">
        <v>1</v>
      </c>
      <c r="H90" s="178"/>
      <c r="I90" s="177" t="s">
        <v>11</v>
      </c>
      <c r="J90" s="179" t="s">
        <v>35</v>
      </c>
      <c r="K90" s="180"/>
      <c r="L90" s="179" t="s">
        <v>1001</v>
      </c>
    </row>
    <row r="91" spans="1:12" ht="90" x14ac:dyDescent="0.3">
      <c r="A91" s="175" t="s">
        <v>157</v>
      </c>
      <c r="B91" s="190" t="s">
        <v>364</v>
      </c>
      <c r="C91" s="175" t="s">
        <v>35</v>
      </c>
      <c r="D91" s="170"/>
      <c r="E91" s="175" t="s">
        <v>1</v>
      </c>
      <c r="F91" s="175"/>
      <c r="G91" s="177" t="s">
        <v>1</v>
      </c>
      <c r="H91" s="178"/>
      <c r="I91" s="177" t="s">
        <v>11</v>
      </c>
      <c r="J91" s="179" t="s">
        <v>35</v>
      </c>
      <c r="K91" s="180"/>
      <c r="L91" s="179" t="s">
        <v>1001</v>
      </c>
    </row>
    <row r="92" spans="1:12" ht="105" x14ac:dyDescent="0.3">
      <c r="A92" s="175" t="s">
        <v>159</v>
      </c>
      <c r="B92" s="190" t="s">
        <v>365</v>
      </c>
      <c r="C92" s="175" t="s">
        <v>35</v>
      </c>
      <c r="D92" s="170"/>
      <c r="E92" s="175" t="s">
        <v>1</v>
      </c>
      <c r="F92" s="175"/>
      <c r="G92" s="177" t="s">
        <v>1</v>
      </c>
      <c r="H92" s="178"/>
      <c r="I92" s="177" t="s">
        <v>11</v>
      </c>
      <c r="J92" s="179" t="s">
        <v>35</v>
      </c>
      <c r="K92" s="180"/>
      <c r="L92" s="179" t="s">
        <v>1001</v>
      </c>
    </row>
    <row r="93" spans="1:12" s="20" customFormat="1" ht="75" x14ac:dyDescent="0.3">
      <c r="A93" s="33" t="s">
        <v>161</v>
      </c>
      <c r="B93" s="190" t="s">
        <v>366</v>
      </c>
      <c r="C93" s="33" t="s">
        <v>35</v>
      </c>
      <c r="D93" s="31"/>
      <c r="E93" s="33" t="s">
        <v>1</v>
      </c>
      <c r="F93" s="33"/>
      <c r="G93" s="34" t="s">
        <v>36</v>
      </c>
      <c r="H93" s="35" t="s">
        <v>367</v>
      </c>
      <c r="I93" s="34" t="s">
        <v>11</v>
      </c>
      <c r="J93" s="74"/>
      <c r="K93" s="74"/>
      <c r="L93" s="74" t="s">
        <v>1001</v>
      </c>
    </row>
    <row r="94" spans="1:12" ht="135" x14ac:dyDescent="0.3">
      <c r="A94" s="175" t="s">
        <v>164</v>
      </c>
      <c r="B94" s="190" t="s">
        <v>368</v>
      </c>
      <c r="C94" s="175" t="s">
        <v>35</v>
      </c>
      <c r="D94" s="170" t="s">
        <v>253</v>
      </c>
      <c r="E94" s="175" t="s">
        <v>1</v>
      </c>
      <c r="F94" s="175"/>
      <c r="G94" s="177" t="s">
        <v>1</v>
      </c>
      <c r="H94" s="178"/>
      <c r="I94" s="177" t="s">
        <v>11</v>
      </c>
      <c r="J94" s="179" t="s">
        <v>35</v>
      </c>
      <c r="K94" s="180" t="s">
        <v>369</v>
      </c>
      <c r="L94" s="179" t="s">
        <v>1001</v>
      </c>
    </row>
    <row r="95" spans="1:12" ht="120" x14ac:dyDescent="0.3">
      <c r="A95" s="175" t="s">
        <v>167</v>
      </c>
      <c r="B95" s="190" t="s">
        <v>370</v>
      </c>
      <c r="C95" s="175" t="s">
        <v>35</v>
      </c>
      <c r="D95" s="170"/>
      <c r="E95" s="175" t="s">
        <v>1</v>
      </c>
      <c r="F95" s="175"/>
      <c r="G95" s="177" t="s">
        <v>1</v>
      </c>
      <c r="H95" s="178"/>
      <c r="I95" s="177" t="s">
        <v>11</v>
      </c>
      <c r="J95" s="179" t="s">
        <v>35</v>
      </c>
      <c r="K95" s="180"/>
      <c r="L95" s="179" t="s">
        <v>1001</v>
      </c>
    </row>
    <row r="96" spans="1:12" s="20" customFormat="1" ht="75" x14ac:dyDescent="0.3">
      <c r="A96" s="33" t="s">
        <v>169</v>
      </c>
      <c r="B96" s="190" t="s">
        <v>371</v>
      </c>
      <c r="C96" s="33" t="s">
        <v>35</v>
      </c>
      <c r="D96" s="31"/>
      <c r="E96" s="33" t="s">
        <v>1</v>
      </c>
      <c r="F96" s="33"/>
      <c r="G96" s="34" t="s">
        <v>36</v>
      </c>
      <c r="H96" s="35" t="s">
        <v>372</v>
      </c>
      <c r="I96" s="34" t="s">
        <v>11</v>
      </c>
      <c r="J96" s="74"/>
      <c r="K96" s="74"/>
      <c r="L96" s="74" t="s">
        <v>1001</v>
      </c>
    </row>
    <row r="97" spans="1:13" ht="150" x14ac:dyDescent="0.3">
      <c r="A97" s="175" t="s">
        <v>172</v>
      </c>
      <c r="B97" s="190" t="s">
        <v>373</v>
      </c>
      <c r="C97" s="175" t="s">
        <v>35</v>
      </c>
      <c r="D97" s="170"/>
      <c r="E97" s="175" t="s">
        <v>1</v>
      </c>
      <c r="F97" s="175"/>
      <c r="G97" s="177" t="s">
        <v>1</v>
      </c>
      <c r="H97" s="178"/>
      <c r="I97" s="177" t="s">
        <v>11</v>
      </c>
      <c r="J97" s="179" t="s">
        <v>35</v>
      </c>
      <c r="K97" s="180"/>
      <c r="L97" s="179" t="s">
        <v>1001</v>
      </c>
    </row>
    <row r="98" spans="1:13" ht="105" x14ac:dyDescent="0.3">
      <c r="A98" s="175" t="s">
        <v>174</v>
      </c>
      <c r="B98" s="190" t="s">
        <v>374</v>
      </c>
      <c r="C98" s="175" t="s">
        <v>35</v>
      </c>
      <c r="D98" s="170" t="s">
        <v>253</v>
      </c>
      <c r="E98" s="175" t="s">
        <v>1</v>
      </c>
      <c r="F98" s="175"/>
      <c r="G98" s="177" t="s">
        <v>1</v>
      </c>
      <c r="H98" s="178"/>
      <c r="I98" s="177" t="s">
        <v>11</v>
      </c>
      <c r="J98" s="179" t="s">
        <v>35</v>
      </c>
      <c r="K98" s="180"/>
      <c r="L98" s="179" t="s">
        <v>1001</v>
      </c>
    </row>
    <row r="99" spans="1:13" ht="180" x14ac:dyDescent="0.3">
      <c r="A99" s="175" t="s">
        <v>177</v>
      </c>
      <c r="B99" s="190" t="s">
        <v>375</v>
      </c>
      <c r="C99" s="175" t="s">
        <v>35</v>
      </c>
      <c r="D99" s="170"/>
      <c r="E99" s="175" t="s">
        <v>1</v>
      </c>
      <c r="F99" s="175"/>
      <c r="G99" s="177" t="s">
        <v>1</v>
      </c>
      <c r="H99" s="178"/>
      <c r="I99" s="177" t="s">
        <v>11</v>
      </c>
      <c r="J99" s="179" t="s">
        <v>35</v>
      </c>
      <c r="K99" s="180"/>
      <c r="L99" s="179" t="s">
        <v>1001</v>
      </c>
    </row>
    <row r="100" spans="1:13" s="20" customFormat="1" ht="120" x14ac:dyDescent="0.3">
      <c r="A100" s="33" t="s">
        <v>310</v>
      </c>
      <c r="B100" s="190" t="s">
        <v>376</v>
      </c>
      <c r="C100" s="33" t="s">
        <v>37</v>
      </c>
      <c r="D100" s="31" t="s">
        <v>253</v>
      </c>
      <c r="E100" s="33" t="s">
        <v>2</v>
      </c>
      <c r="F100" s="33"/>
      <c r="G100" s="34" t="s">
        <v>36</v>
      </c>
      <c r="H100" s="35" t="s">
        <v>377</v>
      </c>
      <c r="I100" s="34" t="s">
        <v>11</v>
      </c>
      <c r="J100" s="74"/>
      <c r="K100" s="74"/>
      <c r="L100" s="74" t="s">
        <v>1001</v>
      </c>
    </row>
    <row r="101" spans="1:13" s="20" customFormat="1" ht="120" x14ac:dyDescent="0.3">
      <c r="A101" s="33" t="s">
        <v>313</v>
      </c>
      <c r="B101" s="190" t="s">
        <v>378</v>
      </c>
      <c r="C101" s="33" t="s">
        <v>37</v>
      </c>
      <c r="D101" s="31" t="s">
        <v>253</v>
      </c>
      <c r="E101" s="33" t="s">
        <v>2</v>
      </c>
      <c r="F101" s="33"/>
      <c r="G101" s="34" t="s">
        <v>36</v>
      </c>
      <c r="H101" s="35" t="s">
        <v>280</v>
      </c>
      <c r="I101" s="34" t="s">
        <v>11</v>
      </c>
      <c r="J101" s="74"/>
      <c r="K101" s="74"/>
      <c r="L101" s="74" t="s">
        <v>35</v>
      </c>
      <c r="M101" s="20" t="s">
        <v>1003</v>
      </c>
    </row>
    <row r="102" spans="1:13" s="20" customFormat="1" ht="90" x14ac:dyDescent="0.3">
      <c r="A102" s="33" t="s">
        <v>316</v>
      </c>
      <c r="B102" s="190" t="s">
        <v>379</v>
      </c>
      <c r="C102" s="33" t="s">
        <v>35</v>
      </c>
      <c r="D102" s="31"/>
      <c r="E102" s="33" t="s">
        <v>1</v>
      </c>
      <c r="F102" s="33"/>
      <c r="G102" s="34" t="s">
        <v>36</v>
      </c>
      <c r="H102" s="35" t="s">
        <v>372</v>
      </c>
      <c r="I102" s="34" t="s">
        <v>11</v>
      </c>
      <c r="J102" s="74"/>
      <c r="K102" s="74"/>
      <c r="L102" s="74" t="s">
        <v>1001</v>
      </c>
    </row>
    <row r="103" spans="1:13" ht="120" x14ac:dyDescent="0.3">
      <c r="A103" s="175" t="s">
        <v>380</v>
      </c>
      <c r="B103" s="190" t="s">
        <v>381</v>
      </c>
      <c r="C103" s="175" t="s">
        <v>35</v>
      </c>
      <c r="D103" s="170" t="s">
        <v>382</v>
      </c>
      <c r="E103" s="175" t="s">
        <v>1</v>
      </c>
      <c r="F103" s="175"/>
      <c r="G103" s="177" t="s">
        <v>1</v>
      </c>
      <c r="H103" s="178" t="s">
        <v>212</v>
      </c>
      <c r="I103" s="177" t="s">
        <v>11</v>
      </c>
      <c r="J103" s="179" t="s">
        <v>35</v>
      </c>
      <c r="K103" s="180"/>
      <c r="L103" s="179" t="s">
        <v>1001</v>
      </c>
    </row>
    <row r="104" spans="1:13" s="20" customFormat="1" ht="195" x14ac:dyDescent="0.3">
      <c r="A104" s="33" t="s">
        <v>383</v>
      </c>
      <c r="B104" s="190" t="s">
        <v>384</v>
      </c>
      <c r="C104" s="33" t="s">
        <v>35</v>
      </c>
      <c r="D104" s="31"/>
      <c r="E104" s="33" t="s">
        <v>1</v>
      </c>
      <c r="F104" s="33"/>
      <c r="G104" s="34" t="s">
        <v>36</v>
      </c>
      <c r="H104" s="35" t="s">
        <v>372</v>
      </c>
      <c r="I104" s="34" t="s">
        <v>11</v>
      </c>
      <c r="J104" s="74"/>
      <c r="K104" s="74"/>
      <c r="L104" s="74" t="s">
        <v>1001</v>
      </c>
    </row>
    <row r="105" spans="1:13" ht="409.6" x14ac:dyDescent="0.3">
      <c r="A105" s="175" t="s">
        <v>385</v>
      </c>
      <c r="B105" s="190" t="s">
        <v>386</v>
      </c>
      <c r="C105" s="175" t="s">
        <v>35</v>
      </c>
      <c r="D105" s="170" t="s">
        <v>387</v>
      </c>
      <c r="E105" s="175" t="s">
        <v>1</v>
      </c>
      <c r="F105" s="215" t="s">
        <v>388</v>
      </c>
      <c r="G105" s="177" t="s">
        <v>1</v>
      </c>
      <c r="H105" s="178"/>
      <c r="I105" s="177" t="s">
        <v>11</v>
      </c>
      <c r="J105" s="179" t="s">
        <v>35</v>
      </c>
      <c r="K105" s="180"/>
      <c r="L105" s="179" t="s">
        <v>1001</v>
      </c>
    </row>
    <row r="106" spans="1:13" ht="255" x14ac:dyDescent="0.3">
      <c r="A106" s="175" t="s">
        <v>389</v>
      </c>
      <c r="B106" s="190" t="s">
        <v>390</v>
      </c>
      <c r="C106" s="175" t="s">
        <v>35</v>
      </c>
      <c r="D106" s="170"/>
      <c r="E106" s="175" t="s">
        <v>1</v>
      </c>
      <c r="F106" s="175"/>
      <c r="G106" s="177" t="s">
        <v>1</v>
      </c>
      <c r="H106" s="178"/>
      <c r="I106" s="177" t="s">
        <v>11</v>
      </c>
      <c r="J106" s="179" t="s">
        <v>35</v>
      </c>
      <c r="K106" s="180"/>
      <c r="L106" s="179" t="s">
        <v>1001</v>
      </c>
    </row>
    <row r="107" spans="1:13" ht="78" x14ac:dyDescent="0.3">
      <c r="A107" s="183"/>
      <c r="B107" s="184" t="s">
        <v>391</v>
      </c>
      <c r="C107" s="185" t="s">
        <v>40</v>
      </c>
      <c r="D107" s="186" t="s">
        <v>41</v>
      </c>
      <c r="E107" s="188"/>
      <c r="F107" s="188"/>
      <c r="G107" s="188"/>
      <c r="H107" s="189"/>
      <c r="I107" s="188"/>
      <c r="J107" s="188"/>
      <c r="K107" s="189"/>
      <c r="L107" s="188"/>
    </row>
    <row r="108" spans="1:13" ht="240" x14ac:dyDescent="0.3">
      <c r="A108" s="175" t="s">
        <v>48</v>
      </c>
      <c r="B108" s="190" t="s">
        <v>392</v>
      </c>
      <c r="C108" s="175" t="s">
        <v>35</v>
      </c>
      <c r="D108" s="170" t="s">
        <v>253</v>
      </c>
      <c r="E108" s="175" t="s">
        <v>1</v>
      </c>
      <c r="F108" s="215"/>
      <c r="G108" s="177" t="s">
        <v>1</v>
      </c>
      <c r="H108" s="178"/>
      <c r="I108" s="177" t="s">
        <v>11</v>
      </c>
      <c r="J108" s="179" t="s">
        <v>35</v>
      </c>
      <c r="K108" s="180"/>
      <c r="L108" s="179" t="s">
        <v>1001</v>
      </c>
    </row>
    <row r="109" spans="1:13" ht="90" x14ac:dyDescent="0.3">
      <c r="A109" s="175" t="s">
        <v>131</v>
      </c>
      <c r="B109" s="190" t="s">
        <v>393</v>
      </c>
      <c r="C109" s="175" t="s">
        <v>35</v>
      </c>
      <c r="D109" s="170" t="s">
        <v>253</v>
      </c>
      <c r="E109" s="175" t="s">
        <v>1</v>
      </c>
      <c r="F109" s="175"/>
      <c r="G109" s="177" t="s">
        <v>1</v>
      </c>
      <c r="H109" s="178"/>
      <c r="I109" s="177" t="s">
        <v>11</v>
      </c>
      <c r="J109" s="179" t="s">
        <v>35</v>
      </c>
      <c r="K109" s="180"/>
      <c r="L109" s="179" t="s">
        <v>1001</v>
      </c>
    </row>
    <row r="110" spans="1:13" ht="105" x14ac:dyDescent="0.3">
      <c r="A110" s="175" t="s">
        <v>55</v>
      </c>
      <c r="B110" s="190" t="s">
        <v>394</v>
      </c>
      <c r="C110" s="175" t="s">
        <v>35</v>
      </c>
      <c r="D110" s="170"/>
      <c r="E110" s="175" t="s">
        <v>1</v>
      </c>
      <c r="F110" s="175"/>
      <c r="G110" s="177" t="s">
        <v>1</v>
      </c>
      <c r="H110" s="178" t="s">
        <v>395</v>
      </c>
      <c r="I110" s="177" t="s">
        <v>11</v>
      </c>
      <c r="J110" s="179" t="s">
        <v>35</v>
      </c>
      <c r="K110" s="180"/>
      <c r="L110" s="179" t="s">
        <v>1001</v>
      </c>
    </row>
    <row r="111" spans="1:13" ht="225" x14ac:dyDescent="0.3">
      <c r="A111" s="175" t="s">
        <v>63</v>
      </c>
      <c r="B111" s="190" t="s">
        <v>396</v>
      </c>
      <c r="C111" s="175" t="s">
        <v>35</v>
      </c>
      <c r="D111" s="170"/>
      <c r="E111" s="175" t="s">
        <v>1</v>
      </c>
      <c r="F111" s="175"/>
      <c r="G111" s="177" t="s">
        <v>1</v>
      </c>
      <c r="H111" s="178"/>
      <c r="I111" s="177" t="s">
        <v>11</v>
      </c>
      <c r="J111" s="179" t="s">
        <v>35</v>
      </c>
      <c r="K111" s="180"/>
      <c r="L111" s="179" t="s">
        <v>1001</v>
      </c>
    </row>
    <row r="112" spans="1:13" ht="90" x14ac:dyDescent="0.3">
      <c r="A112" s="175" t="s">
        <v>146</v>
      </c>
      <c r="B112" s="190" t="s">
        <v>397</v>
      </c>
      <c r="C112" s="175" t="s">
        <v>35</v>
      </c>
      <c r="D112" s="170"/>
      <c r="E112" s="175" t="s">
        <v>1</v>
      </c>
      <c r="F112" s="175"/>
      <c r="G112" s="177" t="s">
        <v>1</v>
      </c>
      <c r="H112" s="178"/>
      <c r="I112" s="177" t="s">
        <v>11</v>
      </c>
      <c r="J112" s="179" t="s">
        <v>35</v>
      </c>
      <c r="K112" s="180"/>
      <c r="L112" s="179" t="s">
        <v>1001</v>
      </c>
    </row>
    <row r="113" spans="1:12" ht="120" x14ac:dyDescent="0.3">
      <c r="A113" s="175" t="s">
        <v>149</v>
      </c>
      <c r="B113" s="190" t="s">
        <v>398</v>
      </c>
      <c r="C113" s="175" t="s">
        <v>35</v>
      </c>
      <c r="D113" s="170"/>
      <c r="E113" s="175" t="s">
        <v>1</v>
      </c>
      <c r="F113" s="175"/>
      <c r="G113" s="177" t="s">
        <v>1</v>
      </c>
      <c r="H113" s="178"/>
      <c r="I113" s="177" t="s">
        <v>11</v>
      </c>
      <c r="J113" s="179" t="s">
        <v>35</v>
      </c>
      <c r="K113" s="180"/>
      <c r="L113" s="179" t="s">
        <v>1001</v>
      </c>
    </row>
    <row r="114" spans="1:12" ht="105" x14ac:dyDescent="0.3">
      <c r="A114" s="175" t="s">
        <v>151</v>
      </c>
      <c r="B114" s="190" t="s">
        <v>399</v>
      </c>
      <c r="C114" s="175" t="s">
        <v>35</v>
      </c>
      <c r="D114" s="170"/>
      <c r="E114" s="175" t="s">
        <v>1</v>
      </c>
      <c r="F114" s="175"/>
      <c r="G114" s="177" t="s">
        <v>1</v>
      </c>
      <c r="H114" s="178"/>
      <c r="I114" s="177" t="s">
        <v>11</v>
      </c>
      <c r="J114" s="179" t="s">
        <v>35</v>
      </c>
      <c r="K114" s="180"/>
      <c r="L114" s="179" t="s">
        <v>1001</v>
      </c>
    </row>
    <row r="115" spans="1:12" ht="120" x14ac:dyDescent="0.3">
      <c r="A115" s="175" t="s">
        <v>153</v>
      </c>
      <c r="B115" s="190" t="s">
        <v>400</v>
      </c>
      <c r="C115" s="175" t="s">
        <v>35</v>
      </c>
      <c r="D115" s="170"/>
      <c r="E115" s="175" t="s">
        <v>1</v>
      </c>
      <c r="F115" s="175"/>
      <c r="G115" s="177" t="s">
        <v>1</v>
      </c>
      <c r="H115" s="178"/>
      <c r="I115" s="177" t="s">
        <v>11</v>
      </c>
      <c r="J115" s="179" t="s">
        <v>35</v>
      </c>
      <c r="K115" s="180"/>
      <c r="L115" s="179" t="s">
        <v>1001</v>
      </c>
    </row>
    <row r="116" spans="1:12" ht="210" x14ac:dyDescent="0.3">
      <c r="A116" s="175" t="s">
        <v>155</v>
      </c>
      <c r="B116" s="190" t="s">
        <v>401</v>
      </c>
      <c r="C116" s="175" t="s">
        <v>35</v>
      </c>
      <c r="D116" s="170"/>
      <c r="E116" s="175" t="s">
        <v>1</v>
      </c>
      <c r="F116" s="175"/>
      <c r="G116" s="177" t="s">
        <v>1</v>
      </c>
      <c r="H116" s="178"/>
      <c r="I116" s="177" t="s">
        <v>11</v>
      </c>
      <c r="J116" s="179" t="s">
        <v>35</v>
      </c>
      <c r="K116" s="180"/>
      <c r="L116" s="179" t="s">
        <v>1001</v>
      </c>
    </row>
    <row r="117" spans="1:12" s="20" customFormat="1" ht="120" x14ac:dyDescent="0.3">
      <c r="A117" s="33" t="s">
        <v>157</v>
      </c>
      <c r="B117" s="190" t="s">
        <v>402</v>
      </c>
      <c r="C117" s="33" t="s">
        <v>35</v>
      </c>
      <c r="D117" s="31"/>
      <c r="E117" s="33" t="s">
        <v>1</v>
      </c>
      <c r="F117" s="33"/>
      <c r="G117" s="34" t="s">
        <v>36</v>
      </c>
      <c r="H117" s="35" t="s">
        <v>403</v>
      </c>
      <c r="I117" s="34" t="s">
        <v>11</v>
      </c>
      <c r="J117" s="74"/>
      <c r="K117" s="74"/>
      <c r="L117" s="74" t="s">
        <v>1001</v>
      </c>
    </row>
    <row r="118" spans="1:12" ht="150" x14ac:dyDescent="0.3">
      <c r="A118" s="175" t="s">
        <v>159</v>
      </c>
      <c r="B118" s="190" t="s">
        <v>404</v>
      </c>
      <c r="C118" s="175" t="s">
        <v>35</v>
      </c>
      <c r="D118" s="170"/>
      <c r="E118" s="175" t="s">
        <v>1</v>
      </c>
      <c r="F118" s="175"/>
      <c r="G118" s="177" t="s">
        <v>1</v>
      </c>
      <c r="H118" s="178"/>
      <c r="I118" s="177" t="s">
        <v>11</v>
      </c>
      <c r="J118" s="179" t="s">
        <v>35</v>
      </c>
      <c r="K118" s="180"/>
      <c r="L118" s="179" t="s">
        <v>1001</v>
      </c>
    </row>
    <row r="119" spans="1:12" ht="285" x14ac:dyDescent="0.3">
      <c r="A119" s="175" t="s">
        <v>161</v>
      </c>
      <c r="B119" s="190" t="s">
        <v>405</v>
      </c>
      <c r="C119" s="175" t="s">
        <v>35</v>
      </c>
      <c r="D119" s="170"/>
      <c r="E119" s="175" t="s">
        <v>1</v>
      </c>
      <c r="F119" s="175"/>
      <c r="G119" s="177" t="s">
        <v>1</v>
      </c>
      <c r="H119" s="178"/>
      <c r="I119" s="177" t="s">
        <v>11</v>
      </c>
      <c r="J119" s="179" t="s">
        <v>35</v>
      </c>
      <c r="K119" s="180"/>
      <c r="L119" s="179" t="s">
        <v>1001</v>
      </c>
    </row>
    <row r="120" spans="1:12" s="20" customFormat="1" ht="120" x14ac:dyDescent="0.3">
      <c r="A120" s="33" t="s">
        <v>164</v>
      </c>
      <c r="B120" s="190" t="s">
        <v>406</v>
      </c>
      <c r="C120" s="33" t="s">
        <v>35</v>
      </c>
      <c r="D120" s="31"/>
      <c r="E120" s="33" t="s">
        <v>2</v>
      </c>
      <c r="F120" s="33"/>
      <c r="G120" s="34" t="s">
        <v>36</v>
      </c>
      <c r="H120" s="35" t="s">
        <v>403</v>
      </c>
      <c r="I120" s="34" t="s">
        <v>11</v>
      </c>
      <c r="J120" s="74"/>
      <c r="K120" s="74"/>
      <c r="L120" s="74" t="s">
        <v>1001</v>
      </c>
    </row>
    <row r="121" spans="1:12" s="20" customFormat="1" ht="270" x14ac:dyDescent="0.3">
      <c r="A121" s="33" t="s">
        <v>167</v>
      </c>
      <c r="B121" s="190" t="s">
        <v>407</v>
      </c>
      <c r="C121" s="33" t="s">
        <v>37</v>
      </c>
      <c r="D121" s="31" t="s">
        <v>253</v>
      </c>
      <c r="E121" s="33" t="s">
        <v>2</v>
      </c>
      <c r="F121" s="33"/>
      <c r="G121" s="34" t="s">
        <v>36</v>
      </c>
      <c r="H121" s="35" t="s">
        <v>127</v>
      </c>
      <c r="I121" s="34" t="s">
        <v>11</v>
      </c>
      <c r="J121" s="74"/>
      <c r="K121" s="74"/>
      <c r="L121" s="74" t="s">
        <v>1001</v>
      </c>
    </row>
    <row r="122" spans="1:12" s="20" customFormat="1" ht="60" x14ac:dyDescent="0.3">
      <c r="A122" s="33" t="s">
        <v>169</v>
      </c>
      <c r="B122" s="190" t="s">
        <v>408</v>
      </c>
      <c r="C122" s="33" t="s">
        <v>35</v>
      </c>
      <c r="D122" s="31"/>
      <c r="E122" s="33" t="s">
        <v>1</v>
      </c>
      <c r="F122" s="33"/>
      <c r="G122" s="34" t="s">
        <v>36</v>
      </c>
      <c r="H122" s="35" t="s">
        <v>403</v>
      </c>
      <c r="I122" s="34" t="s">
        <v>11</v>
      </c>
      <c r="J122" s="74"/>
      <c r="K122" s="74"/>
      <c r="L122" s="74" t="s">
        <v>1001</v>
      </c>
    </row>
    <row r="123" spans="1:12" ht="255" x14ac:dyDescent="0.3">
      <c r="A123" s="175" t="s">
        <v>172</v>
      </c>
      <c r="B123" s="190" t="s">
        <v>409</v>
      </c>
      <c r="C123" s="175" t="s">
        <v>35</v>
      </c>
      <c r="D123" s="170" t="s">
        <v>410</v>
      </c>
      <c r="E123" s="175" t="s">
        <v>1</v>
      </c>
      <c r="F123" s="175"/>
      <c r="G123" s="177" t="s">
        <v>1</v>
      </c>
      <c r="H123" s="178"/>
      <c r="I123" s="177" t="s">
        <v>11</v>
      </c>
      <c r="J123" s="179" t="s">
        <v>35</v>
      </c>
      <c r="K123" s="180"/>
      <c r="L123" s="179" t="s">
        <v>1001</v>
      </c>
    </row>
    <row r="124" spans="1:12" ht="150" x14ac:dyDescent="0.3">
      <c r="A124" s="175" t="s">
        <v>174</v>
      </c>
      <c r="B124" s="190" t="s">
        <v>411</v>
      </c>
      <c r="C124" s="175" t="s">
        <v>35</v>
      </c>
      <c r="D124" s="170" t="s">
        <v>412</v>
      </c>
      <c r="E124" s="175" t="s">
        <v>1</v>
      </c>
      <c r="F124" s="175"/>
      <c r="G124" s="177" t="s">
        <v>1</v>
      </c>
      <c r="H124" s="178"/>
      <c r="I124" s="177" t="s">
        <v>11</v>
      </c>
      <c r="J124" s="179" t="s">
        <v>35</v>
      </c>
      <c r="K124" s="180" t="s">
        <v>413</v>
      </c>
      <c r="L124" s="179" t="s">
        <v>1001</v>
      </c>
    </row>
    <row r="125" spans="1:12" ht="345" x14ac:dyDescent="0.3">
      <c r="A125" s="175" t="s">
        <v>177</v>
      </c>
      <c r="B125" s="190" t="s">
        <v>414</v>
      </c>
      <c r="C125" s="175" t="s">
        <v>35</v>
      </c>
      <c r="D125" s="170" t="s">
        <v>253</v>
      </c>
      <c r="E125" s="175" t="s">
        <v>1</v>
      </c>
      <c r="F125" s="175"/>
      <c r="G125" s="177" t="s">
        <v>1</v>
      </c>
      <c r="H125" s="178"/>
      <c r="I125" s="177" t="s">
        <v>11</v>
      </c>
      <c r="J125" s="179" t="s">
        <v>35</v>
      </c>
      <c r="K125" s="180"/>
      <c r="L125" s="179" t="s">
        <v>1001</v>
      </c>
    </row>
    <row r="126" spans="1:12" s="20" customFormat="1" ht="120" x14ac:dyDescent="0.3">
      <c r="A126" s="33" t="s">
        <v>310</v>
      </c>
      <c r="B126" s="190" t="s">
        <v>415</v>
      </c>
      <c r="C126" s="33" t="s">
        <v>35</v>
      </c>
      <c r="D126" s="31" t="s">
        <v>416</v>
      </c>
      <c r="E126" s="33" t="s">
        <v>2</v>
      </c>
      <c r="F126" s="33"/>
      <c r="G126" s="34" t="s">
        <v>36</v>
      </c>
      <c r="H126" s="35" t="s">
        <v>417</v>
      </c>
      <c r="I126" s="34" t="s">
        <v>11</v>
      </c>
      <c r="J126" s="74"/>
      <c r="K126" s="74"/>
      <c r="L126" s="74" t="s">
        <v>1001</v>
      </c>
    </row>
    <row r="127" spans="1:12" ht="210" x14ac:dyDescent="0.3">
      <c r="A127" s="175" t="s">
        <v>313</v>
      </c>
      <c r="B127" s="190" t="s">
        <v>418</v>
      </c>
      <c r="C127" s="175" t="s">
        <v>35</v>
      </c>
      <c r="D127" s="170"/>
      <c r="E127" s="175" t="s">
        <v>2</v>
      </c>
      <c r="F127" s="175"/>
      <c r="G127" s="177" t="s">
        <v>2</v>
      </c>
      <c r="H127" s="178"/>
      <c r="I127" s="177" t="s">
        <v>11</v>
      </c>
      <c r="J127" s="179" t="s">
        <v>35</v>
      </c>
      <c r="K127" s="180" t="s">
        <v>419</v>
      </c>
      <c r="L127" s="179" t="s">
        <v>1001</v>
      </c>
    </row>
    <row r="128" spans="1:12" ht="165" x14ac:dyDescent="0.3">
      <c r="A128" s="175" t="s">
        <v>316</v>
      </c>
      <c r="B128" s="190" t="s">
        <v>420</v>
      </c>
      <c r="C128" s="175" t="s">
        <v>35</v>
      </c>
      <c r="D128" s="170"/>
      <c r="E128" s="175" t="s">
        <v>1</v>
      </c>
      <c r="F128" s="175"/>
      <c r="G128" s="177" t="s">
        <v>1</v>
      </c>
      <c r="H128" s="178" t="s">
        <v>421</v>
      </c>
      <c r="I128" s="177" t="s">
        <v>11</v>
      </c>
      <c r="J128" s="179" t="s">
        <v>35</v>
      </c>
      <c r="K128" s="180" t="s">
        <v>347</v>
      </c>
      <c r="L128" s="179" t="s">
        <v>1001</v>
      </c>
    </row>
    <row r="129" spans="1:13" s="20" customFormat="1" ht="120" x14ac:dyDescent="0.3">
      <c r="A129" s="33" t="s">
        <v>380</v>
      </c>
      <c r="B129" s="190" t="s">
        <v>422</v>
      </c>
      <c r="C129" s="33" t="s">
        <v>35</v>
      </c>
      <c r="D129" s="31"/>
      <c r="E129" s="33" t="s">
        <v>2</v>
      </c>
      <c r="F129" s="33"/>
      <c r="G129" s="34" t="s">
        <v>36</v>
      </c>
      <c r="H129" s="35" t="s">
        <v>403</v>
      </c>
      <c r="I129" s="34" t="s">
        <v>11</v>
      </c>
      <c r="J129" s="74"/>
      <c r="K129" s="74"/>
      <c r="L129" s="74" t="s">
        <v>1001</v>
      </c>
    </row>
    <row r="130" spans="1:13" s="20" customFormat="1" ht="135" x14ac:dyDescent="0.3">
      <c r="A130" s="33" t="s">
        <v>383</v>
      </c>
      <c r="B130" s="190" t="s">
        <v>423</v>
      </c>
      <c r="C130" s="33" t="s">
        <v>35</v>
      </c>
      <c r="D130" s="31"/>
      <c r="E130" s="33" t="s">
        <v>2</v>
      </c>
      <c r="F130" s="33"/>
      <c r="G130" s="34" t="s">
        <v>36</v>
      </c>
      <c r="H130" s="35"/>
      <c r="I130" s="34" t="s">
        <v>11</v>
      </c>
      <c r="J130" s="74"/>
      <c r="K130" s="74"/>
      <c r="L130" s="74" t="s">
        <v>1001</v>
      </c>
    </row>
    <row r="131" spans="1:13" s="20" customFormat="1" ht="165" x14ac:dyDescent="0.3">
      <c r="A131" s="33" t="s">
        <v>385</v>
      </c>
      <c r="B131" s="190" t="s">
        <v>424</v>
      </c>
      <c r="C131" s="33" t="s">
        <v>35</v>
      </c>
      <c r="D131" s="31" t="s">
        <v>253</v>
      </c>
      <c r="E131" s="33" t="s">
        <v>1</v>
      </c>
      <c r="F131" s="33"/>
      <c r="G131" s="34" t="s">
        <v>36</v>
      </c>
      <c r="H131" s="35" t="s">
        <v>425</v>
      </c>
      <c r="I131" s="34" t="s">
        <v>11</v>
      </c>
      <c r="J131" s="74"/>
      <c r="K131" s="74"/>
      <c r="L131" s="74" t="s">
        <v>1001</v>
      </c>
    </row>
    <row r="132" spans="1:13" s="20" customFormat="1" ht="135" x14ac:dyDescent="0.3">
      <c r="A132" s="33" t="s">
        <v>389</v>
      </c>
      <c r="B132" s="190" t="s">
        <v>426</v>
      </c>
      <c r="C132" s="33" t="s">
        <v>35</v>
      </c>
      <c r="D132" s="31"/>
      <c r="E132" s="33" t="s">
        <v>1</v>
      </c>
      <c r="F132" s="33"/>
      <c r="G132" s="34" t="s">
        <v>36</v>
      </c>
      <c r="H132" s="35" t="s">
        <v>425</v>
      </c>
      <c r="I132" s="34" t="s">
        <v>11</v>
      </c>
      <c r="J132" s="74"/>
      <c r="K132" s="74"/>
      <c r="L132" s="74" t="s">
        <v>1001</v>
      </c>
    </row>
    <row r="133" spans="1:13" ht="270" x14ac:dyDescent="0.3">
      <c r="A133" s="175" t="s">
        <v>427</v>
      </c>
      <c r="B133" s="190" t="s">
        <v>428</v>
      </c>
      <c r="C133" s="175" t="s">
        <v>35</v>
      </c>
      <c r="D133" s="170" t="s">
        <v>253</v>
      </c>
      <c r="E133" s="175" t="s">
        <v>2</v>
      </c>
      <c r="F133" s="175"/>
      <c r="G133" s="177" t="s">
        <v>2</v>
      </c>
      <c r="H133" s="178"/>
      <c r="I133" s="177" t="s">
        <v>11</v>
      </c>
      <c r="J133" s="179" t="s">
        <v>35</v>
      </c>
      <c r="K133" s="180" t="s">
        <v>429</v>
      </c>
      <c r="L133" s="179" t="s">
        <v>1001</v>
      </c>
    </row>
    <row r="134" spans="1:13" s="20" customFormat="1" ht="90" x14ac:dyDescent="0.3">
      <c r="A134" s="33" t="s">
        <v>430</v>
      </c>
      <c r="B134" s="190" t="s">
        <v>431</v>
      </c>
      <c r="C134" s="33" t="s">
        <v>35</v>
      </c>
      <c r="D134" s="31"/>
      <c r="E134" s="33" t="s">
        <v>2</v>
      </c>
      <c r="F134" s="33"/>
      <c r="G134" s="34" t="s">
        <v>36</v>
      </c>
      <c r="H134" s="35" t="s">
        <v>432</v>
      </c>
      <c r="I134" s="34" t="s">
        <v>11</v>
      </c>
      <c r="J134" s="74"/>
      <c r="K134" s="74"/>
      <c r="L134" s="74" t="s">
        <v>35</v>
      </c>
      <c r="M134" s="20" t="s">
        <v>1003</v>
      </c>
    </row>
    <row r="135" spans="1:13" s="20" customFormat="1" ht="270" x14ac:dyDescent="0.3">
      <c r="A135" s="33" t="s">
        <v>433</v>
      </c>
      <c r="B135" s="190" t="s">
        <v>434</v>
      </c>
      <c r="C135" s="33" t="s">
        <v>35</v>
      </c>
      <c r="D135" s="31"/>
      <c r="E135" s="33" t="s">
        <v>2</v>
      </c>
      <c r="F135" s="33"/>
      <c r="G135" s="34" t="s">
        <v>36</v>
      </c>
      <c r="H135" s="35" t="s">
        <v>435</v>
      </c>
      <c r="I135" s="34" t="s">
        <v>11</v>
      </c>
      <c r="J135" s="74"/>
      <c r="K135" s="74"/>
      <c r="L135" s="74" t="s">
        <v>35</v>
      </c>
      <c r="M135" s="20" t="s">
        <v>1003</v>
      </c>
    </row>
    <row r="136" spans="1:13" ht="120" x14ac:dyDescent="0.3">
      <c r="A136" s="175" t="s">
        <v>436</v>
      </c>
      <c r="B136" s="190" t="s">
        <v>437</v>
      </c>
      <c r="C136" s="175" t="s">
        <v>35</v>
      </c>
      <c r="D136" s="170"/>
      <c r="E136" s="175" t="s">
        <v>1</v>
      </c>
      <c r="F136" s="175"/>
      <c r="G136" s="177" t="s">
        <v>1</v>
      </c>
      <c r="H136" s="178"/>
      <c r="I136" s="177" t="s">
        <v>11</v>
      </c>
      <c r="J136" s="179" t="s">
        <v>35</v>
      </c>
      <c r="K136" s="180"/>
      <c r="L136" s="179" t="s">
        <v>1001</v>
      </c>
    </row>
    <row r="137" spans="1:13" ht="195" x14ac:dyDescent="0.3">
      <c r="A137" s="175" t="s">
        <v>438</v>
      </c>
      <c r="B137" s="190" t="s">
        <v>439</v>
      </c>
      <c r="C137" s="175" t="s">
        <v>37</v>
      </c>
      <c r="D137" s="170" t="s">
        <v>253</v>
      </c>
      <c r="E137" s="175" t="s">
        <v>2</v>
      </c>
      <c r="F137" s="175"/>
      <c r="G137" s="177" t="s">
        <v>2</v>
      </c>
      <c r="H137" s="178"/>
      <c r="I137" s="177" t="s">
        <v>11</v>
      </c>
      <c r="J137" s="179" t="s">
        <v>35</v>
      </c>
      <c r="K137" s="180" t="s">
        <v>440</v>
      </c>
      <c r="L137" s="179" t="s">
        <v>1001</v>
      </c>
    </row>
    <row r="138" spans="1:13" ht="195" x14ac:dyDescent="0.3">
      <c r="A138" s="175" t="s">
        <v>441</v>
      </c>
      <c r="B138" s="190" t="s">
        <v>442</v>
      </c>
      <c r="C138" s="175" t="s">
        <v>37</v>
      </c>
      <c r="D138" s="170" t="s">
        <v>253</v>
      </c>
      <c r="E138" s="175" t="s">
        <v>2</v>
      </c>
      <c r="F138" s="175"/>
      <c r="G138" s="177" t="s">
        <v>2</v>
      </c>
      <c r="H138" s="178"/>
      <c r="I138" s="177" t="s">
        <v>11</v>
      </c>
      <c r="J138" s="179" t="s">
        <v>35</v>
      </c>
      <c r="K138" s="180"/>
      <c r="L138" s="179" t="s">
        <v>1001</v>
      </c>
    </row>
    <row r="139" spans="1:13" ht="270" x14ac:dyDescent="0.3">
      <c r="A139" s="175" t="s">
        <v>443</v>
      </c>
      <c r="B139" s="190" t="s">
        <v>444</v>
      </c>
      <c r="C139" s="175" t="s">
        <v>35</v>
      </c>
      <c r="D139" s="170"/>
      <c r="E139" s="175" t="s">
        <v>2</v>
      </c>
      <c r="F139" s="175"/>
      <c r="G139" s="177" t="s">
        <v>2</v>
      </c>
      <c r="H139" s="178" t="s">
        <v>445</v>
      </c>
      <c r="I139" s="177" t="s">
        <v>11</v>
      </c>
      <c r="J139" s="179" t="s">
        <v>35</v>
      </c>
      <c r="K139" s="180" t="s">
        <v>446</v>
      </c>
      <c r="L139" s="179" t="s">
        <v>35</v>
      </c>
      <c r="M139" s="174" t="s">
        <v>1003</v>
      </c>
    </row>
    <row r="140" spans="1:13" ht="390" x14ac:dyDescent="0.3">
      <c r="A140" s="175" t="s">
        <v>447</v>
      </c>
      <c r="B140" s="190" t="s">
        <v>448</v>
      </c>
      <c r="C140" s="175" t="s">
        <v>35</v>
      </c>
      <c r="D140" s="170" t="s">
        <v>449</v>
      </c>
      <c r="E140" s="175" t="s">
        <v>2</v>
      </c>
      <c r="F140" s="175"/>
      <c r="G140" s="177" t="s">
        <v>2</v>
      </c>
      <c r="H140" s="178" t="s">
        <v>450</v>
      </c>
      <c r="I140" s="177" t="s">
        <v>11</v>
      </c>
      <c r="J140" s="179" t="s">
        <v>35</v>
      </c>
      <c r="K140" s="180" t="s">
        <v>446</v>
      </c>
      <c r="L140" s="179" t="s">
        <v>35</v>
      </c>
      <c r="M140" s="174" t="s">
        <v>1003</v>
      </c>
    </row>
    <row r="141" spans="1:13" ht="300" x14ac:dyDescent="0.3">
      <c r="A141" s="175" t="s">
        <v>451</v>
      </c>
      <c r="B141" s="190" t="s">
        <v>452</v>
      </c>
      <c r="C141" s="175" t="s">
        <v>35</v>
      </c>
      <c r="D141" s="170"/>
      <c r="E141" s="175" t="s">
        <v>1</v>
      </c>
      <c r="F141" s="175"/>
      <c r="G141" s="177" t="s">
        <v>1</v>
      </c>
      <c r="H141" s="178"/>
      <c r="I141" s="177" t="s">
        <v>11</v>
      </c>
      <c r="J141" s="179" t="s">
        <v>35</v>
      </c>
      <c r="K141" s="180"/>
      <c r="L141" s="179" t="s">
        <v>1001</v>
      </c>
    </row>
    <row r="142" spans="1:13" ht="240" x14ac:dyDescent="0.3">
      <c r="A142" s="175" t="s">
        <v>453</v>
      </c>
      <c r="B142" s="190" t="s">
        <v>454</v>
      </c>
      <c r="C142" s="175" t="s">
        <v>35</v>
      </c>
      <c r="D142" s="170"/>
      <c r="E142" s="175" t="s">
        <v>1</v>
      </c>
      <c r="F142" s="175"/>
      <c r="G142" s="177" t="s">
        <v>1</v>
      </c>
      <c r="H142" s="178"/>
      <c r="I142" s="177" t="s">
        <v>11</v>
      </c>
      <c r="J142" s="179" t="s">
        <v>35</v>
      </c>
      <c r="K142" s="180"/>
      <c r="L142" s="179" t="s">
        <v>1001</v>
      </c>
    </row>
    <row r="143" spans="1:13" ht="75" x14ac:dyDescent="0.3">
      <c r="A143" s="175"/>
      <c r="B143" s="190" t="s">
        <v>455</v>
      </c>
      <c r="C143" s="175" t="s">
        <v>35</v>
      </c>
      <c r="D143" s="170"/>
      <c r="E143" s="175" t="s">
        <v>1</v>
      </c>
      <c r="F143" s="175"/>
      <c r="G143" s="177" t="s">
        <v>1</v>
      </c>
      <c r="H143" s="178"/>
      <c r="I143" s="177" t="s">
        <v>11</v>
      </c>
      <c r="J143" s="179" t="s">
        <v>35</v>
      </c>
      <c r="K143" s="180"/>
      <c r="L143" s="179" t="s">
        <v>1001</v>
      </c>
    </row>
    <row r="144" spans="1:13" s="20" customFormat="1" ht="90" x14ac:dyDescent="0.3">
      <c r="A144" s="33"/>
      <c r="B144" s="190" t="s">
        <v>456</v>
      </c>
      <c r="C144" s="33" t="s">
        <v>35</v>
      </c>
      <c r="D144" s="31"/>
      <c r="E144" s="33" t="s">
        <v>1</v>
      </c>
      <c r="F144" s="33"/>
      <c r="G144" s="34" t="s">
        <v>36</v>
      </c>
      <c r="H144" s="35"/>
      <c r="I144" s="34" t="s">
        <v>11</v>
      </c>
      <c r="J144" s="74"/>
      <c r="K144" s="74"/>
      <c r="L144" s="74" t="s">
        <v>1001</v>
      </c>
    </row>
    <row r="145" spans="1:13" ht="180" x14ac:dyDescent="0.3">
      <c r="A145" s="175"/>
      <c r="B145" s="190" t="s">
        <v>457</v>
      </c>
      <c r="C145" s="175" t="s">
        <v>35</v>
      </c>
      <c r="D145" s="170" t="s">
        <v>458</v>
      </c>
      <c r="E145" s="175" t="s">
        <v>2</v>
      </c>
      <c r="F145" s="175"/>
      <c r="G145" s="177" t="s">
        <v>2</v>
      </c>
      <c r="H145" s="178"/>
      <c r="I145" s="177" t="s">
        <v>11</v>
      </c>
      <c r="J145" s="179" t="s">
        <v>35</v>
      </c>
      <c r="K145" s="180"/>
      <c r="L145" s="179" t="s">
        <v>1001</v>
      </c>
    </row>
    <row r="146" spans="1:13" s="20" customFormat="1" ht="135" x14ac:dyDescent="0.3">
      <c r="A146" s="33"/>
      <c r="B146" s="190" t="s">
        <v>459</v>
      </c>
      <c r="C146" s="33" t="s">
        <v>35</v>
      </c>
      <c r="D146" s="31"/>
      <c r="E146" s="33" t="s">
        <v>1</v>
      </c>
      <c r="F146" s="33"/>
      <c r="G146" s="34" t="s">
        <v>36</v>
      </c>
      <c r="H146" s="35" t="s">
        <v>460</v>
      </c>
      <c r="I146" s="34" t="s">
        <v>11</v>
      </c>
      <c r="J146" s="74"/>
      <c r="K146" s="74"/>
      <c r="L146" s="74" t="s">
        <v>1001</v>
      </c>
    </row>
    <row r="147" spans="1:13" ht="255" x14ac:dyDescent="0.3">
      <c r="A147" s="175"/>
      <c r="B147" s="190" t="s">
        <v>461</v>
      </c>
      <c r="C147" s="175" t="s">
        <v>35</v>
      </c>
      <c r="D147" s="170"/>
      <c r="E147" s="175" t="s">
        <v>1</v>
      </c>
      <c r="F147" s="175"/>
      <c r="G147" s="177" t="s">
        <v>1</v>
      </c>
      <c r="H147" s="178"/>
      <c r="I147" s="177" t="s">
        <v>11</v>
      </c>
      <c r="J147" s="179" t="s">
        <v>35</v>
      </c>
      <c r="K147" s="180"/>
      <c r="L147" s="179" t="s">
        <v>1001</v>
      </c>
    </row>
    <row r="148" spans="1:13" s="20" customFormat="1" ht="75" x14ac:dyDescent="0.3">
      <c r="A148" s="33"/>
      <c r="B148" s="190" t="s">
        <v>462</v>
      </c>
      <c r="C148" s="33" t="s">
        <v>35</v>
      </c>
      <c r="D148" s="31"/>
      <c r="E148" s="33" t="s">
        <v>2</v>
      </c>
      <c r="F148" s="33"/>
      <c r="G148" s="34" t="s">
        <v>36</v>
      </c>
      <c r="H148" s="35"/>
      <c r="I148" s="34" t="s">
        <v>11</v>
      </c>
      <c r="J148" s="74"/>
      <c r="K148" s="74"/>
      <c r="L148" s="74" t="s">
        <v>1001</v>
      </c>
    </row>
    <row r="149" spans="1:13" ht="165" x14ac:dyDescent="0.3">
      <c r="A149" s="175"/>
      <c r="B149" s="190" t="s">
        <v>463</v>
      </c>
      <c r="C149" s="175" t="s">
        <v>35</v>
      </c>
      <c r="D149" s="170"/>
      <c r="E149" s="175" t="s">
        <v>1</v>
      </c>
      <c r="F149" s="175"/>
      <c r="G149" s="177" t="s">
        <v>2</v>
      </c>
      <c r="H149" s="178" t="s">
        <v>464</v>
      </c>
      <c r="I149" s="177" t="s">
        <v>11</v>
      </c>
      <c r="J149" s="179" t="s">
        <v>35</v>
      </c>
      <c r="K149" s="180" t="s">
        <v>465</v>
      </c>
      <c r="L149" s="179" t="s">
        <v>35</v>
      </c>
      <c r="M149" s="174" t="s">
        <v>1003</v>
      </c>
    </row>
    <row r="150" spans="1:13" s="20" customFormat="1" ht="105" x14ac:dyDescent="0.3">
      <c r="A150" s="33"/>
      <c r="B150" s="190" t="s">
        <v>466</v>
      </c>
      <c r="C150" s="33" t="s">
        <v>35</v>
      </c>
      <c r="D150" s="31"/>
      <c r="E150" s="33" t="s">
        <v>2</v>
      </c>
      <c r="F150" s="33"/>
      <c r="G150" s="34" t="s">
        <v>36</v>
      </c>
      <c r="H150" s="35" t="s">
        <v>467</v>
      </c>
      <c r="I150" s="34" t="s">
        <v>11</v>
      </c>
      <c r="J150" s="74"/>
      <c r="K150" s="74"/>
      <c r="L150" s="74" t="s">
        <v>1001</v>
      </c>
    </row>
    <row r="151" spans="1:13" ht="75" x14ac:dyDescent="0.3">
      <c r="A151" s="175"/>
      <c r="B151" s="190" t="s">
        <v>468</v>
      </c>
      <c r="C151" s="175" t="s">
        <v>35</v>
      </c>
      <c r="D151" s="170"/>
      <c r="E151" s="175" t="s">
        <v>1</v>
      </c>
      <c r="F151" s="175"/>
      <c r="G151" s="177" t="s">
        <v>1</v>
      </c>
      <c r="H151" s="178"/>
      <c r="I151" s="177" t="s">
        <v>11</v>
      </c>
      <c r="J151" s="179" t="s">
        <v>35</v>
      </c>
      <c r="K151" s="180"/>
      <c r="L151" s="179" t="s">
        <v>1001</v>
      </c>
    </row>
    <row r="152" spans="1:13" s="20" customFormat="1" ht="409.6" x14ac:dyDescent="0.3">
      <c r="A152" s="33"/>
      <c r="B152" s="190" t="s">
        <v>469</v>
      </c>
      <c r="C152" s="33" t="s">
        <v>35</v>
      </c>
      <c r="D152" s="31" t="s">
        <v>470</v>
      </c>
      <c r="E152" s="33" t="s">
        <v>1</v>
      </c>
      <c r="F152" s="33"/>
      <c r="G152" s="34" t="s">
        <v>36</v>
      </c>
      <c r="H152" s="35" t="s">
        <v>471</v>
      </c>
      <c r="I152" s="34" t="s">
        <v>11</v>
      </c>
      <c r="J152" s="74"/>
      <c r="K152" s="74"/>
      <c r="L152" s="74" t="s">
        <v>1001</v>
      </c>
    </row>
    <row r="153" spans="1:13" s="20" customFormat="1" ht="255" x14ac:dyDescent="0.3">
      <c r="A153" s="33"/>
      <c r="B153" s="190" t="s">
        <v>472</v>
      </c>
      <c r="C153" s="33" t="s">
        <v>35</v>
      </c>
      <c r="D153" s="31"/>
      <c r="E153" s="33" t="s">
        <v>2</v>
      </c>
      <c r="F153" s="33"/>
      <c r="G153" s="34" t="s">
        <v>36</v>
      </c>
      <c r="H153" s="35"/>
      <c r="I153" s="34" t="s">
        <v>11</v>
      </c>
      <c r="J153" s="74"/>
      <c r="K153" s="74"/>
      <c r="L153" s="74" t="s">
        <v>1001</v>
      </c>
    </row>
    <row r="154" spans="1:13" ht="210" x14ac:dyDescent="0.3">
      <c r="A154" s="175"/>
      <c r="B154" s="190" t="s">
        <v>473</v>
      </c>
      <c r="C154" s="175" t="s">
        <v>35</v>
      </c>
      <c r="D154" s="170" t="s">
        <v>253</v>
      </c>
      <c r="E154" s="175" t="s">
        <v>1</v>
      </c>
      <c r="F154" s="175"/>
      <c r="G154" s="177" t="s">
        <v>1</v>
      </c>
      <c r="H154" s="178"/>
      <c r="I154" s="177" t="s">
        <v>11</v>
      </c>
      <c r="J154" s="179" t="s">
        <v>35</v>
      </c>
      <c r="K154" s="180"/>
      <c r="L154" s="179" t="s">
        <v>35</v>
      </c>
      <c r="M154" s="174" t="s">
        <v>1003</v>
      </c>
    </row>
    <row r="155" spans="1:13" s="20" customFormat="1" ht="75" x14ac:dyDescent="0.3">
      <c r="A155" s="31"/>
      <c r="B155" s="190" t="s">
        <v>474</v>
      </c>
      <c r="C155" s="33" t="s">
        <v>35</v>
      </c>
      <c r="D155" s="31"/>
      <c r="E155" s="33" t="s">
        <v>2</v>
      </c>
      <c r="F155" s="33"/>
      <c r="G155" s="34" t="s">
        <v>36</v>
      </c>
      <c r="H155" s="35" t="s">
        <v>464</v>
      </c>
      <c r="I155" s="34" t="s">
        <v>11</v>
      </c>
      <c r="J155" s="74"/>
      <c r="K155" s="74"/>
      <c r="L155" s="74" t="s">
        <v>1001</v>
      </c>
    </row>
    <row r="156" spans="1:13" s="20" customFormat="1" ht="75" x14ac:dyDescent="0.3">
      <c r="A156" s="31"/>
      <c r="B156" s="190" t="s">
        <v>475</v>
      </c>
      <c r="C156" s="33" t="s">
        <v>35</v>
      </c>
      <c r="D156" s="31"/>
      <c r="E156" s="33" t="s">
        <v>2</v>
      </c>
      <c r="F156" s="33"/>
      <c r="G156" s="34" t="s">
        <v>36</v>
      </c>
      <c r="H156" s="35" t="s">
        <v>476</v>
      </c>
      <c r="I156" s="34" t="s">
        <v>11</v>
      </c>
      <c r="J156" s="74"/>
      <c r="K156" s="74"/>
      <c r="L156" s="74" t="s">
        <v>1001</v>
      </c>
    </row>
    <row r="157" spans="1:13" s="20" customFormat="1" ht="60" x14ac:dyDescent="0.3">
      <c r="A157" s="31"/>
      <c r="B157" s="190" t="s">
        <v>477</v>
      </c>
      <c r="C157" s="33" t="s">
        <v>35</v>
      </c>
      <c r="D157" s="31"/>
      <c r="E157" s="33" t="s">
        <v>2</v>
      </c>
      <c r="F157" s="33"/>
      <c r="G157" s="34" t="s">
        <v>36</v>
      </c>
      <c r="H157" s="35"/>
      <c r="I157" s="34" t="s">
        <v>11</v>
      </c>
      <c r="J157" s="74"/>
      <c r="K157" s="74"/>
      <c r="L157" s="74"/>
    </row>
    <row r="158" spans="1:13" ht="75" x14ac:dyDescent="0.3">
      <c r="A158" s="170"/>
      <c r="B158" s="190" t="s">
        <v>478</v>
      </c>
      <c r="C158" s="175" t="s">
        <v>35</v>
      </c>
      <c r="D158" s="170" t="s">
        <v>253</v>
      </c>
      <c r="E158" s="175" t="s">
        <v>1</v>
      </c>
      <c r="F158" s="175"/>
      <c r="G158" s="177" t="s">
        <v>1</v>
      </c>
      <c r="H158" s="178"/>
      <c r="I158" s="177" t="s">
        <v>11</v>
      </c>
      <c r="J158" s="179" t="s">
        <v>35</v>
      </c>
      <c r="K158" s="180" t="s">
        <v>479</v>
      </c>
      <c r="L158" s="179" t="s">
        <v>1001</v>
      </c>
    </row>
    <row r="159" spans="1:13" ht="75" x14ac:dyDescent="0.3">
      <c r="A159" s="170"/>
      <c r="B159" s="190" t="s">
        <v>480</v>
      </c>
      <c r="C159" s="175" t="s">
        <v>35</v>
      </c>
      <c r="D159" s="170" t="s">
        <v>253</v>
      </c>
      <c r="E159" s="175" t="s">
        <v>1</v>
      </c>
      <c r="F159" s="175"/>
      <c r="G159" s="177" t="s">
        <v>1</v>
      </c>
      <c r="H159" s="178"/>
      <c r="I159" s="177" t="s">
        <v>11</v>
      </c>
      <c r="J159" s="179" t="s">
        <v>35</v>
      </c>
      <c r="K159" s="180" t="s">
        <v>481</v>
      </c>
      <c r="L159" s="179" t="s">
        <v>1001</v>
      </c>
    </row>
    <row r="160" spans="1:13" ht="135" x14ac:dyDescent="0.3">
      <c r="A160" s="170"/>
      <c r="B160" s="190" t="s">
        <v>482</v>
      </c>
      <c r="C160" s="175" t="s">
        <v>37</v>
      </c>
      <c r="D160" s="170" t="s">
        <v>253</v>
      </c>
      <c r="E160" s="175" t="s">
        <v>2</v>
      </c>
      <c r="F160" s="175"/>
      <c r="G160" s="177" t="s">
        <v>2</v>
      </c>
      <c r="H160" s="178"/>
      <c r="I160" s="177" t="s">
        <v>11</v>
      </c>
      <c r="J160" s="179" t="s">
        <v>35</v>
      </c>
      <c r="K160" s="180" t="s">
        <v>483</v>
      </c>
      <c r="L160" s="179" t="s">
        <v>1001</v>
      </c>
    </row>
    <row r="161" spans="1:13" ht="78" x14ac:dyDescent="0.3">
      <c r="A161" s="183"/>
      <c r="B161" s="184" t="s">
        <v>484</v>
      </c>
      <c r="C161" s="185" t="s">
        <v>40</v>
      </c>
      <c r="D161" s="186" t="s">
        <v>41</v>
      </c>
      <c r="E161" s="188"/>
      <c r="F161" s="188"/>
      <c r="G161" s="188"/>
      <c r="H161" s="189"/>
      <c r="I161" s="188"/>
      <c r="J161" s="188"/>
      <c r="K161" s="189"/>
      <c r="L161" s="188"/>
    </row>
    <row r="162" spans="1:13" ht="409.6" x14ac:dyDescent="0.3">
      <c r="A162" s="175" t="s">
        <v>48</v>
      </c>
      <c r="B162" s="190" t="s">
        <v>485</v>
      </c>
      <c r="C162" s="175" t="s">
        <v>35</v>
      </c>
      <c r="D162" s="170"/>
      <c r="E162" s="175" t="s">
        <v>2</v>
      </c>
      <c r="F162" s="175"/>
      <c r="G162" s="177" t="s">
        <v>1</v>
      </c>
      <c r="H162" s="178"/>
      <c r="I162" s="177" t="s">
        <v>11</v>
      </c>
      <c r="J162" s="179" t="s">
        <v>35</v>
      </c>
      <c r="K162" s="180"/>
      <c r="L162" s="179" t="s">
        <v>1001</v>
      </c>
    </row>
    <row r="163" spans="1:13" s="20" customFormat="1" ht="105" x14ac:dyDescent="0.3">
      <c r="A163" s="33" t="s">
        <v>131</v>
      </c>
      <c r="B163" s="190" t="s">
        <v>486</v>
      </c>
      <c r="C163" s="33" t="s">
        <v>35</v>
      </c>
      <c r="D163" s="31"/>
      <c r="E163" s="33" t="s">
        <v>1</v>
      </c>
      <c r="F163" s="33"/>
      <c r="G163" s="34" t="s">
        <v>36</v>
      </c>
      <c r="H163" s="35" t="s">
        <v>487</v>
      </c>
      <c r="I163" s="34" t="s">
        <v>11</v>
      </c>
      <c r="J163" s="74"/>
      <c r="K163" s="74"/>
      <c r="L163" s="74" t="s">
        <v>1001</v>
      </c>
    </row>
    <row r="164" spans="1:13" s="20" customFormat="1" ht="90" x14ac:dyDescent="0.3">
      <c r="A164" s="33" t="s">
        <v>55</v>
      </c>
      <c r="B164" s="190" t="s">
        <v>488</v>
      </c>
      <c r="C164" s="33" t="s">
        <v>35</v>
      </c>
      <c r="D164" s="31"/>
      <c r="E164" s="33" t="s">
        <v>1</v>
      </c>
      <c r="F164" s="33"/>
      <c r="G164" s="34" t="s">
        <v>36</v>
      </c>
      <c r="H164" s="35" t="s">
        <v>487</v>
      </c>
      <c r="I164" s="34" t="s">
        <v>11</v>
      </c>
      <c r="J164" s="74"/>
      <c r="K164" s="74"/>
      <c r="L164" s="74" t="s">
        <v>1001</v>
      </c>
    </row>
    <row r="165" spans="1:13" s="20" customFormat="1" ht="120" x14ac:dyDescent="0.3">
      <c r="A165" s="33" t="s">
        <v>63</v>
      </c>
      <c r="B165" s="190" t="s">
        <v>489</v>
      </c>
      <c r="C165" s="33" t="s">
        <v>35</v>
      </c>
      <c r="D165" s="31"/>
      <c r="E165" s="33" t="s">
        <v>1</v>
      </c>
      <c r="F165" s="33"/>
      <c r="G165" s="34" t="s">
        <v>36</v>
      </c>
      <c r="H165" s="35" t="s">
        <v>487</v>
      </c>
      <c r="I165" s="34" t="s">
        <v>11</v>
      </c>
      <c r="J165" s="74"/>
      <c r="K165" s="74"/>
      <c r="L165" s="74" t="s">
        <v>1001</v>
      </c>
    </row>
    <row r="166" spans="1:13" s="20" customFormat="1" ht="120" x14ac:dyDescent="0.3">
      <c r="A166" s="33" t="s">
        <v>146</v>
      </c>
      <c r="B166" s="190" t="s">
        <v>490</v>
      </c>
      <c r="C166" s="33" t="s">
        <v>35</v>
      </c>
      <c r="D166" s="31"/>
      <c r="E166" s="33" t="s">
        <v>1</v>
      </c>
      <c r="F166" s="33"/>
      <c r="G166" s="34" t="s">
        <v>36</v>
      </c>
      <c r="H166" s="35" t="s">
        <v>487</v>
      </c>
      <c r="I166" s="34" t="s">
        <v>11</v>
      </c>
      <c r="J166" s="74"/>
      <c r="K166" s="74"/>
      <c r="L166" s="74" t="s">
        <v>1001</v>
      </c>
    </row>
    <row r="167" spans="1:13" s="20" customFormat="1" ht="105" x14ac:dyDescent="0.3">
      <c r="A167" s="33" t="s">
        <v>149</v>
      </c>
      <c r="B167" s="190" t="s">
        <v>491</v>
      </c>
      <c r="C167" s="33" t="s">
        <v>35</v>
      </c>
      <c r="D167" s="31"/>
      <c r="E167" s="33" t="s">
        <v>1</v>
      </c>
      <c r="F167" s="33"/>
      <c r="G167" s="34" t="s">
        <v>36</v>
      </c>
      <c r="H167" s="35" t="s">
        <v>487</v>
      </c>
      <c r="I167" s="34" t="s">
        <v>11</v>
      </c>
      <c r="J167" s="74"/>
      <c r="K167" s="74"/>
      <c r="L167" s="74" t="s">
        <v>1001</v>
      </c>
    </row>
    <row r="168" spans="1:13" ht="30" x14ac:dyDescent="0.3">
      <c r="A168" s="175" t="s">
        <v>151</v>
      </c>
      <c r="B168" s="190" t="s">
        <v>492</v>
      </c>
      <c r="C168" s="175" t="s">
        <v>35</v>
      </c>
      <c r="D168" s="170"/>
      <c r="E168" s="175" t="s">
        <v>1</v>
      </c>
      <c r="F168" s="175"/>
      <c r="G168" s="177" t="s">
        <v>1</v>
      </c>
      <c r="H168" s="178"/>
      <c r="I168" s="177" t="s">
        <v>11</v>
      </c>
      <c r="J168" s="179" t="s">
        <v>35</v>
      </c>
      <c r="K168" s="180"/>
      <c r="L168" s="179" t="s">
        <v>1001</v>
      </c>
    </row>
    <row r="169" spans="1:13" ht="90" x14ac:dyDescent="0.3">
      <c r="A169" s="175" t="s">
        <v>153</v>
      </c>
      <c r="B169" s="190" t="s">
        <v>493</v>
      </c>
      <c r="C169" s="175" t="s">
        <v>37</v>
      </c>
      <c r="D169" s="170" t="s">
        <v>253</v>
      </c>
      <c r="E169" s="175" t="s">
        <v>2</v>
      </c>
      <c r="F169" s="175"/>
      <c r="G169" s="177" t="s">
        <v>2</v>
      </c>
      <c r="H169" s="178" t="s">
        <v>212</v>
      </c>
      <c r="I169" s="177" t="s">
        <v>11</v>
      </c>
      <c r="J169" s="179" t="s">
        <v>35</v>
      </c>
      <c r="K169" s="180" t="s">
        <v>494</v>
      </c>
      <c r="L169" s="179" t="s">
        <v>35</v>
      </c>
      <c r="M169" s="174" t="s">
        <v>1003</v>
      </c>
    </row>
    <row r="170" spans="1:13" s="20" customFormat="1" ht="60" x14ac:dyDescent="0.3">
      <c r="A170" s="33" t="s">
        <v>155</v>
      </c>
      <c r="B170" s="190" t="s">
        <v>495</v>
      </c>
      <c r="C170" s="33" t="s">
        <v>35</v>
      </c>
      <c r="D170" s="31"/>
      <c r="E170" s="33" t="s">
        <v>1</v>
      </c>
      <c r="F170" s="33"/>
      <c r="G170" s="34" t="s">
        <v>36</v>
      </c>
      <c r="H170" s="35" t="s">
        <v>487</v>
      </c>
      <c r="I170" s="34" t="s">
        <v>11</v>
      </c>
      <c r="J170" s="74"/>
      <c r="K170" s="74"/>
      <c r="L170" s="74" t="s">
        <v>1001</v>
      </c>
    </row>
    <row r="171" spans="1:13" s="20" customFormat="1" ht="90" x14ac:dyDescent="0.3">
      <c r="A171" s="33" t="s">
        <v>157</v>
      </c>
      <c r="B171" s="190" t="s">
        <v>496</v>
      </c>
      <c r="C171" s="33" t="s">
        <v>35</v>
      </c>
      <c r="D171" s="31"/>
      <c r="E171" s="33" t="s">
        <v>1</v>
      </c>
      <c r="F171" s="33"/>
      <c r="G171" s="34" t="s">
        <v>36</v>
      </c>
      <c r="H171" s="35" t="s">
        <v>487</v>
      </c>
      <c r="I171" s="34" t="s">
        <v>11</v>
      </c>
      <c r="J171" s="74"/>
      <c r="K171" s="74"/>
      <c r="L171" s="74" t="s">
        <v>1001</v>
      </c>
    </row>
    <row r="172" spans="1:13" s="20" customFormat="1" ht="60" x14ac:dyDescent="0.3">
      <c r="A172" s="33" t="s">
        <v>159</v>
      </c>
      <c r="B172" s="190" t="s">
        <v>497</v>
      </c>
      <c r="C172" s="33" t="s">
        <v>35</v>
      </c>
      <c r="D172" s="31"/>
      <c r="E172" s="33" t="s">
        <v>2</v>
      </c>
      <c r="F172" s="33"/>
      <c r="G172" s="34" t="s">
        <v>36</v>
      </c>
      <c r="H172" s="35"/>
      <c r="I172" s="34" t="s">
        <v>11</v>
      </c>
      <c r="J172" s="74"/>
      <c r="K172" s="74"/>
      <c r="L172" s="74" t="s">
        <v>1001</v>
      </c>
    </row>
    <row r="173" spans="1:13" ht="75" x14ac:dyDescent="0.3">
      <c r="A173" s="175" t="s">
        <v>161</v>
      </c>
      <c r="B173" s="190" t="s">
        <v>498</v>
      </c>
      <c r="C173" s="175" t="s">
        <v>35</v>
      </c>
      <c r="D173" s="170"/>
      <c r="E173" s="175" t="s">
        <v>2</v>
      </c>
      <c r="F173" s="175"/>
      <c r="G173" s="177" t="s">
        <v>2</v>
      </c>
      <c r="H173" s="178"/>
      <c r="I173" s="177" t="s">
        <v>11</v>
      </c>
      <c r="J173" s="179" t="s">
        <v>35</v>
      </c>
      <c r="K173" s="180"/>
      <c r="L173" s="179" t="s">
        <v>1001</v>
      </c>
    </row>
    <row r="174" spans="1:13" ht="45" x14ac:dyDescent="0.3">
      <c r="A174" s="175"/>
      <c r="B174" s="190" t="s">
        <v>499</v>
      </c>
      <c r="C174" s="175" t="s">
        <v>35</v>
      </c>
      <c r="D174" s="170"/>
      <c r="E174" s="175" t="s">
        <v>1</v>
      </c>
      <c r="F174" s="175"/>
      <c r="G174" s="177" t="s">
        <v>2</v>
      </c>
      <c r="H174" s="178" t="s">
        <v>500</v>
      </c>
      <c r="I174" s="177" t="s">
        <v>11</v>
      </c>
      <c r="J174" s="179" t="s">
        <v>35</v>
      </c>
      <c r="K174" s="180"/>
      <c r="L174" s="179" t="s">
        <v>1001</v>
      </c>
    </row>
    <row r="175" spans="1:13" ht="78" x14ac:dyDescent="0.3">
      <c r="A175" s="183"/>
      <c r="B175" s="184" t="s">
        <v>501</v>
      </c>
      <c r="C175" s="185" t="s">
        <v>40</v>
      </c>
      <c r="D175" s="186" t="s">
        <v>41</v>
      </c>
      <c r="E175" s="188"/>
      <c r="F175" s="188"/>
      <c r="G175" s="188"/>
      <c r="H175" s="189"/>
      <c r="I175" s="188"/>
      <c r="J175" s="188"/>
      <c r="K175" s="189"/>
      <c r="L175" s="188"/>
    </row>
    <row r="176" spans="1:13" s="20" customFormat="1" ht="60" x14ac:dyDescent="0.3">
      <c r="A176" s="33" t="s">
        <v>48</v>
      </c>
      <c r="B176" s="190" t="s">
        <v>502</v>
      </c>
      <c r="C176" s="33" t="s">
        <v>35</v>
      </c>
      <c r="D176" s="31"/>
      <c r="E176" s="33" t="s">
        <v>2</v>
      </c>
      <c r="F176" s="33"/>
      <c r="G176" s="34" t="s">
        <v>36</v>
      </c>
      <c r="H176" s="35" t="s">
        <v>127</v>
      </c>
      <c r="I176" s="34" t="s">
        <v>11</v>
      </c>
      <c r="J176" s="74"/>
      <c r="K176" s="74"/>
      <c r="L176" s="74" t="s">
        <v>1001</v>
      </c>
    </row>
    <row r="177" spans="1:12" s="20" customFormat="1" ht="75" x14ac:dyDescent="0.3">
      <c r="A177" s="33" t="s">
        <v>131</v>
      </c>
      <c r="B177" s="190" t="s">
        <v>503</v>
      </c>
      <c r="C177" s="33" t="s">
        <v>35</v>
      </c>
      <c r="D177" s="31"/>
      <c r="E177" s="33" t="s">
        <v>2</v>
      </c>
      <c r="F177" s="33"/>
      <c r="G177" s="34" t="s">
        <v>36</v>
      </c>
      <c r="H177" s="35" t="s">
        <v>127</v>
      </c>
      <c r="I177" s="34" t="s">
        <v>11</v>
      </c>
      <c r="J177" s="74"/>
      <c r="K177" s="74"/>
      <c r="L177" s="74" t="s">
        <v>1001</v>
      </c>
    </row>
    <row r="178" spans="1:12" s="20" customFormat="1" ht="90" x14ac:dyDescent="0.3">
      <c r="A178" s="33" t="s">
        <v>55</v>
      </c>
      <c r="B178" s="190" t="s">
        <v>504</v>
      </c>
      <c r="C178" s="33" t="s">
        <v>35</v>
      </c>
      <c r="D178" s="31"/>
      <c r="E178" s="33" t="s">
        <v>2</v>
      </c>
      <c r="F178" s="33"/>
      <c r="G178" s="34" t="s">
        <v>36</v>
      </c>
      <c r="H178" s="35" t="s">
        <v>127</v>
      </c>
      <c r="I178" s="34" t="s">
        <v>11</v>
      </c>
      <c r="J178" s="74"/>
      <c r="K178" s="74"/>
      <c r="L178" s="74" t="s">
        <v>1001</v>
      </c>
    </row>
    <row r="179" spans="1:12" ht="90" x14ac:dyDescent="0.3">
      <c r="A179" s="175" t="s">
        <v>63</v>
      </c>
      <c r="B179" s="190" t="s">
        <v>505</v>
      </c>
      <c r="C179" s="175" t="s">
        <v>35</v>
      </c>
      <c r="D179" s="170"/>
      <c r="E179" s="175" t="s">
        <v>1</v>
      </c>
      <c r="F179" s="175"/>
      <c r="G179" s="177" t="s">
        <v>1</v>
      </c>
      <c r="H179" s="178"/>
      <c r="I179" s="177" t="s">
        <v>11</v>
      </c>
      <c r="J179" s="179" t="s">
        <v>35</v>
      </c>
      <c r="K179" s="180"/>
      <c r="L179" s="179" t="s">
        <v>1001</v>
      </c>
    </row>
    <row r="180" spans="1:12" s="20" customFormat="1" ht="409.6" x14ac:dyDescent="0.3">
      <c r="A180" s="33" t="s">
        <v>146</v>
      </c>
      <c r="B180" s="190" t="s">
        <v>506</v>
      </c>
      <c r="C180" s="33" t="s">
        <v>35</v>
      </c>
      <c r="D180" s="31"/>
      <c r="E180" s="33" t="s">
        <v>2</v>
      </c>
      <c r="F180" s="33"/>
      <c r="G180" s="34" t="s">
        <v>36</v>
      </c>
      <c r="H180" s="35" t="s">
        <v>507</v>
      </c>
      <c r="I180" s="34" t="s">
        <v>11</v>
      </c>
      <c r="J180" s="74"/>
      <c r="K180" s="74"/>
      <c r="L180" s="74" t="s">
        <v>1001</v>
      </c>
    </row>
    <row r="181" spans="1:12" s="20" customFormat="1" ht="45" x14ac:dyDescent="0.3">
      <c r="A181" s="33" t="s">
        <v>149</v>
      </c>
      <c r="B181" s="190" t="s">
        <v>508</v>
      </c>
      <c r="C181" s="33" t="s">
        <v>35</v>
      </c>
      <c r="D181" s="31"/>
      <c r="E181" s="33" t="s">
        <v>2</v>
      </c>
      <c r="F181" s="33"/>
      <c r="G181" s="34" t="s">
        <v>36</v>
      </c>
      <c r="H181" s="35" t="s">
        <v>127</v>
      </c>
      <c r="I181" s="34" t="s">
        <v>11</v>
      </c>
      <c r="J181" s="74"/>
      <c r="K181" s="74"/>
      <c r="L181" s="74" t="s">
        <v>1001</v>
      </c>
    </row>
    <row r="182" spans="1:12" s="20" customFormat="1" ht="120" x14ac:dyDescent="0.3">
      <c r="A182" s="33" t="s">
        <v>151</v>
      </c>
      <c r="B182" s="190" t="s">
        <v>509</v>
      </c>
      <c r="C182" s="33" t="s">
        <v>35</v>
      </c>
      <c r="D182" s="31"/>
      <c r="E182" s="33" t="s">
        <v>2</v>
      </c>
      <c r="F182" s="33"/>
      <c r="G182" s="34" t="s">
        <v>36</v>
      </c>
      <c r="H182" s="35" t="s">
        <v>127</v>
      </c>
      <c r="I182" s="34" t="s">
        <v>11</v>
      </c>
      <c r="J182" s="74"/>
      <c r="K182" s="74"/>
      <c r="L182" s="74" t="s">
        <v>1001</v>
      </c>
    </row>
    <row r="183" spans="1:12" s="20" customFormat="1" ht="105.6" x14ac:dyDescent="0.3">
      <c r="A183" s="31"/>
      <c r="B183" s="181" t="s">
        <v>510</v>
      </c>
      <c r="C183" s="33" t="s">
        <v>35</v>
      </c>
      <c r="D183" s="31"/>
      <c r="E183" s="33" t="s">
        <v>2</v>
      </c>
      <c r="F183" s="33"/>
      <c r="G183" s="34" t="s">
        <v>36</v>
      </c>
      <c r="H183" s="35" t="s">
        <v>127</v>
      </c>
      <c r="I183" s="34" t="s">
        <v>11</v>
      </c>
      <c r="J183" s="74"/>
      <c r="K183" s="74"/>
      <c r="L183" s="74" t="s">
        <v>1001</v>
      </c>
    </row>
    <row r="184" spans="1:12" s="20" customFormat="1" ht="225" x14ac:dyDescent="0.3">
      <c r="A184" s="31"/>
      <c r="B184" s="190" t="s">
        <v>511</v>
      </c>
      <c r="C184" s="33" t="s">
        <v>35</v>
      </c>
      <c r="D184" s="31"/>
      <c r="E184" s="33" t="s">
        <v>2</v>
      </c>
      <c r="F184" s="33"/>
      <c r="G184" s="34" t="s">
        <v>36</v>
      </c>
      <c r="H184" s="35" t="s">
        <v>127</v>
      </c>
      <c r="I184" s="34" t="s">
        <v>11</v>
      </c>
      <c r="J184" s="74"/>
      <c r="K184" s="74"/>
      <c r="L184" s="74" t="s">
        <v>1001</v>
      </c>
    </row>
    <row r="185" spans="1:12" s="20" customFormat="1" ht="150" x14ac:dyDescent="0.3">
      <c r="A185" s="31"/>
      <c r="B185" s="190" t="s">
        <v>512</v>
      </c>
      <c r="C185" s="33" t="s">
        <v>37</v>
      </c>
      <c r="D185" s="31" t="s">
        <v>253</v>
      </c>
      <c r="E185" s="33" t="s">
        <v>2</v>
      </c>
      <c r="F185" s="33"/>
      <c r="G185" s="34" t="s">
        <v>36</v>
      </c>
      <c r="H185" s="35" t="s">
        <v>127</v>
      </c>
      <c r="I185" s="34" t="s">
        <v>11</v>
      </c>
      <c r="J185" s="74"/>
      <c r="K185" s="74"/>
      <c r="L185" s="74" t="s">
        <v>1001</v>
      </c>
    </row>
    <row r="186" spans="1:12" s="20" customFormat="1" ht="60" x14ac:dyDescent="0.3">
      <c r="A186" s="31"/>
      <c r="B186" s="190" t="s">
        <v>513</v>
      </c>
      <c r="C186" s="33" t="s">
        <v>37</v>
      </c>
      <c r="D186" s="31" t="s">
        <v>253</v>
      </c>
      <c r="E186" s="33" t="s">
        <v>2</v>
      </c>
      <c r="F186" s="33"/>
      <c r="G186" s="34" t="s">
        <v>36</v>
      </c>
      <c r="H186" s="35" t="s">
        <v>127</v>
      </c>
      <c r="I186" s="34" t="s">
        <v>11</v>
      </c>
      <c r="J186" s="74"/>
      <c r="K186" s="74"/>
      <c r="L186" s="74" t="s">
        <v>1001</v>
      </c>
    </row>
    <row r="187" spans="1:12" s="20" customFormat="1" ht="255" x14ac:dyDescent="0.3">
      <c r="A187" s="31"/>
      <c r="B187" s="190" t="s">
        <v>514</v>
      </c>
      <c r="C187" s="33" t="s">
        <v>36</v>
      </c>
      <c r="D187" s="31"/>
      <c r="E187" s="33" t="s">
        <v>2</v>
      </c>
      <c r="F187" s="33"/>
      <c r="G187" s="34" t="s">
        <v>36</v>
      </c>
      <c r="H187" s="35" t="s">
        <v>127</v>
      </c>
      <c r="I187" s="34" t="s">
        <v>11</v>
      </c>
      <c r="J187" s="74"/>
      <c r="K187" s="74"/>
      <c r="L187" s="74" t="s">
        <v>1001</v>
      </c>
    </row>
    <row r="188" spans="1:12" s="20" customFormat="1" ht="409.6" x14ac:dyDescent="0.3">
      <c r="A188" s="31"/>
      <c r="B188" s="190" t="s">
        <v>515</v>
      </c>
      <c r="C188" s="33" t="s">
        <v>37</v>
      </c>
      <c r="D188" s="31" t="s">
        <v>253</v>
      </c>
      <c r="E188" s="33" t="s">
        <v>2</v>
      </c>
      <c r="F188" s="33"/>
      <c r="G188" s="34" t="s">
        <v>36</v>
      </c>
      <c r="H188" s="35" t="s">
        <v>127</v>
      </c>
      <c r="I188" s="34" t="s">
        <v>11</v>
      </c>
      <c r="J188" s="74"/>
      <c r="K188" s="74"/>
      <c r="L188" s="74" t="s">
        <v>1001</v>
      </c>
    </row>
    <row r="189" spans="1:12" s="20" customFormat="1" ht="390" x14ac:dyDescent="0.3">
      <c r="A189" s="31"/>
      <c r="B189" s="190" t="s">
        <v>516</v>
      </c>
      <c r="C189" s="33" t="s">
        <v>37</v>
      </c>
      <c r="D189" s="31" t="s">
        <v>253</v>
      </c>
      <c r="E189" s="33" t="s">
        <v>2</v>
      </c>
      <c r="F189" s="33"/>
      <c r="G189" s="34" t="s">
        <v>36</v>
      </c>
      <c r="H189" s="35" t="s">
        <v>127</v>
      </c>
      <c r="I189" s="34" t="s">
        <v>11</v>
      </c>
      <c r="J189" s="74"/>
      <c r="K189" s="74"/>
      <c r="L189" s="74" t="s">
        <v>1001</v>
      </c>
    </row>
    <row r="190" spans="1:12" s="20" customFormat="1" ht="15.6" x14ac:dyDescent="0.3">
      <c r="A190" s="31"/>
      <c r="B190" s="231" t="s">
        <v>517</v>
      </c>
      <c r="C190" s="33" t="s">
        <v>35</v>
      </c>
      <c r="D190" s="31"/>
      <c r="E190" s="33" t="s">
        <v>2</v>
      </c>
      <c r="F190" s="33"/>
      <c r="G190" s="34" t="s">
        <v>36</v>
      </c>
      <c r="H190" s="35" t="s">
        <v>127</v>
      </c>
      <c r="I190" s="34" t="s">
        <v>11</v>
      </c>
      <c r="J190" s="74"/>
      <c r="K190" s="74"/>
      <c r="L190" s="74" t="s">
        <v>1001</v>
      </c>
    </row>
    <row r="191" spans="1:12" s="20" customFormat="1" ht="15.6" x14ac:dyDescent="0.3">
      <c r="A191" s="31"/>
      <c r="B191" s="231"/>
      <c r="C191" s="33" t="s">
        <v>35</v>
      </c>
      <c r="D191" s="31"/>
      <c r="E191" s="33" t="s">
        <v>2</v>
      </c>
      <c r="F191" s="33"/>
      <c r="G191" s="34" t="s">
        <v>36</v>
      </c>
      <c r="H191" s="35" t="s">
        <v>127</v>
      </c>
      <c r="I191" s="34" t="s">
        <v>11</v>
      </c>
      <c r="J191" s="74"/>
      <c r="K191" s="74"/>
      <c r="L191" s="74" t="s">
        <v>1001</v>
      </c>
    </row>
    <row r="192" spans="1:12" s="20" customFormat="1" ht="409.6" x14ac:dyDescent="0.3">
      <c r="A192" s="31"/>
      <c r="B192" s="190" t="s">
        <v>518</v>
      </c>
      <c r="C192" s="33" t="s">
        <v>35</v>
      </c>
      <c r="D192" s="31" t="s">
        <v>253</v>
      </c>
      <c r="E192" s="33" t="s">
        <v>2</v>
      </c>
      <c r="F192" s="33"/>
      <c r="G192" s="34" t="s">
        <v>36</v>
      </c>
      <c r="H192" s="35" t="s">
        <v>127</v>
      </c>
      <c r="I192" s="34" t="s">
        <v>11</v>
      </c>
      <c r="J192" s="74"/>
      <c r="K192" s="74"/>
      <c r="L192" s="74" t="s">
        <v>1001</v>
      </c>
    </row>
    <row r="193" spans="1:13" s="20" customFormat="1" ht="90" x14ac:dyDescent="0.3">
      <c r="A193" s="31"/>
      <c r="B193" s="190" t="s">
        <v>519</v>
      </c>
      <c r="C193" s="33" t="s">
        <v>36</v>
      </c>
      <c r="D193" s="31"/>
      <c r="E193" s="33" t="s">
        <v>2</v>
      </c>
      <c r="F193" s="33"/>
      <c r="G193" s="34" t="s">
        <v>36</v>
      </c>
      <c r="H193" s="35" t="s">
        <v>127</v>
      </c>
      <c r="I193" s="34" t="s">
        <v>11</v>
      </c>
      <c r="J193" s="74"/>
      <c r="K193" s="74"/>
      <c r="L193" s="74" t="s">
        <v>1001</v>
      </c>
    </row>
    <row r="194" spans="1:13" s="20" customFormat="1" ht="120" x14ac:dyDescent="0.3">
      <c r="A194" s="31"/>
      <c r="B194" s="190" t="s">
        <v>520</v>
      </c>
      <c r="C194" s="33" t="s">
        <v>35</v>
      </c>
      <c r="D194" s="31"/>
      <c r="E194" s="33" t="s">
        <v>2</v>
      </c>
      <c r="F194" s="33"/>
      <c r="G194" s="34" t="s">
        <v>36</v>
      </c>
      <c r="H194" s="35" t="s">
        <v>127</v>
      </c>
      <c r="I194" s="34" t="s">
        <v>11</v>
      </c>
      <c r="J194" s="74"/>
      <c r="K194" s="74"/>
      <c r="L194" s="74" t="s">
        <v>1001</v>
      </c>
    </row>
    <row r="195" spans="1:13" ht="78" x14ac:dyDescent="0.3">
      <c r="A195" s="183"/>
      <c r="B195" s="184" t="s">
        <v>521</v>
      </c>
      <c r="C195" s="185" t="s">
        <v>40</v>
      </c>
      <c r="D195" s="186" t="s">
        <v>41</v>
      </c>
      <c r="E195" s="188"/>
      <c r="F195" s="188"/>
      <c r="G195" s="188"/>
      <c r="H195" s="189"/>
      <c r="I195" s="188"/>
      <c r="J195" s="188"/>
      <c r="K195" s="189"/>
      <c r="L195" s="188"/>
    </row>
    <row r="196" spans="1:13" ht="135" x14ac:dyDescent="0.3">
      <c r="A196" s="175" t="s">
        <v>48</v>
      </c>
      <c r="B196" s="190" t="s">
        <v>522</v>
      </c>
      <c r="C196" s="175" t="s">
        <v>37</v>
      </c>
      <c r="D196" s="170" t="s">
        <v>523</v>
      </c>
      <c r="E196" s="175" t="s">
        <v>2</v>
      </c>
      <c r="F196" s="175"/>
      <c r="G196" s="177" t="s">
        <v>2</v>
      </c>
      <c r="H196" s="178"/>
      <c r="I196" s="177" t="s">
        <v>11</v>
      </c>
      <c r="J196" s="179" t="s">
        <v>35</v>
      </c>
      <c r="K196" s="180"/>
      <c r="L196" s="179" t="s">
        <v>1001</v>
      </c>
    </row>
    <row r="197" spans="1:13" ht="105" x14ac:dyDescent="0.3">
      <c r="A197" s="175" t="s">
        <v>131</v>
      </c>
      <c r="B197" s="190" t="s">
        <v>524</v>
      </c>
      <c r="C197" s="175" t="s">
        <v>37</v>
      </c>
      <c r="D197" s="170" t="s">
        <v>523</v>
      </c>
      <c r="E197" s="175" t="s">
        <v>2</v>
      </c>
      <c r="F197" s="175"/>
      <c r="G197" s="177" t="s">
        <v>2</v>
      </c>
      <c r="H197" s="178" t="s">
        <v>525</v>
      </c>
      <c r="I197" s="177" t="s">
        <v>11</v>
      </c>
      <c r="J197" s="179" t="s">
        <v>35</v>
      </c>
      <c r="K197" s="180"/>
      <c r="L197" s="179" t="s">
        <v>1001</v>
      </c>
    </row>
    <row r="198" spans="1:13" ht="165" x14ac:dyDescent="0.3">
      <c r="A198" s="175" t="s">
        <v>55</v>
      </c>
      <c r="B198" s="190" t="s">
        <v>526</v>
      </c>
      <c r="C198" s="175" t="s">
        <v>37</v>
      </c>
      <c r="D198" s="170" t="s">
        <v>523</v>
      </c>
      <c r="E198" s="175" t="s">
        <v>2</v>
      </c>
      <c r="F198" s="175"/>
      <c r="G198" s="177" t="s">
        <v>2</v>
      </c>
      <c r="H198" s="178"/>
      <c r="I198" s="177" t="s">
        <v>11</v>
      </c>
      <c r="J198" s="172"/>
      <c r="K198" s="172"/>
      <c r="L198" s="172" t="s">
        <v>1001</v>
      </c>
    </row>
    <row r="199" spans="1:13" s="20" customFormat="1" ht="120" x14ac:dyDescent="0.3">
      <c r="A199" s="33" t="s">
        <v>63</v>
      </c>
      <c r="B199" s="190" t="s">
        <v>527</v>
      </c>
      <c r="C199" s="33" t="s">
        <v>35</v>
      </c>
      <c r="D199" s="31" t="s">
        <v>528</v>
      </c>
      <c r="E199" s="33" t="s">
        <v>2</v>
      </c>
      <c r="F199" s="33"/>
      <c r="G199" s="34" t="s">
        <v>36</v>
      </c>
      <c r="H199" s="35"/>
      <c r="I199" s="34" t="s">
        <v>11</v>
      </c>
      <c r="J199" s="74"/>
      <c r="K199" s="74"/>
      <c r="L199" s="74" t="s">
        <v>1001</v>
      </c>
    </row>
    <row r="200" spans="1:13" s="20" customFormat="1" ht="60" x14ac:dyDescent="0.3">
      <c r="A200" s="33" t="s">
        <v>146</v>
      </c>
      <c r="B200" s="190" t="s">
        <v>529</v>
      </c>
      <c r="C200" s="33" t="s">
        <v>35</v>
      </c>
      <c r="D200" s="31" t="s">
        <v>530</v>
      </c>
      <c r="E200" s="33" t="s">
        <v>2</v>
      </c>
      <c r="F200" s="33"/>
      <c r="G200" s="34" t="s">
        <v>36</v>
      </c>
      <c r="H200" s="35"/>
      <c r="I200" s="34" t="s">
        <v>11</v>
      </c>
      <c r="J200" s="74"/>
      <c r="K200" s="74"/>
      <c r="L200" s="74" t="s">
        <v>1001</v>
      </c>
    </row>
    <row r="201" spans="1:13" s="20" customFormat="1" ht="180" x14ac:dyDescent="0.3">
      <c r="A201" s="33" t="s">
        <v>149</v>
      </c>
      <c r="B201" s="190" t="s">
        <v>531</v>
      </c>
      <c r="C201" s="33" t="s">
        <v>37</v>
      </c>
      <c r="D201" s="31" t="s">
        <v>523</v>
      </c>
      <c r="E201" s="33" t="s">
        <v>2</v>
      </c>
      <c r="F201" s="33"/>
      <c r="G201" s="34" t="s">
        <v>36</v>
      </c>
      <c r="H201" s="35" t="s">
        <v>532</v>
      </c>
      <c r="I201" s="34" t="s">
        <v>11</v>
      </c>
      <c r="J201" s="74"/>
      <c r="K201" s="74"/>
      <c r="L201" s="74" t="s">
        <v>35</v>
      </c>
      <c r="M201" s="20" t="s">
        <v>1003</v>
      </c>
    </row>
    <row r="202" spans="1:13" s="20" customFormat="1" ht="165" x14ac:dyDescent="0.3">
      <c r="A202" s="33" t="s">
        <v>151</v>
      </c>
      <c r="B202" s="190" t="s">
        <v>533</v>
      </c>
      <c r="C202" s="33" t="s">
        <v>37</v>
      </c>
      <c r="D202" s="31" t="s">
        <v>523</v>
      </c>
      <c r="E202" s="33" t="s">
        <v>2</v>
      </c>
      <c r="F202" s="33"/>
      <c r="G202" s="34" t="s">
        <v>36</v>
      </c>
      <c r="H202" s="35"/>
      <c r="I202" s="34" t="s">
        <v>11</v>
      </c>
      <c r="J202" s="74"/>
      <c r="K202" s="74"/>
      <c r="L202" s="74" t="s">
        <v>1001</v>
      </c>
    </row>
    <row r="203" spans="1:13" s="20" customFormat="1" ht="90" x14ac:dyDescent="0.3">
      <c r="A203" s="33" t="s">
        <v>153</v>
      </c>
      <c r="B203" s="190" t="s">
        <v>534</v>
      </c>
      <c r="C203" s="33" t="s">
        <v>35</v>
      </c>
      <c r="D203" s="31" t="s">
        <v>535</v>
      </c>
      <c r="E203" s="33" t="s">
        <v>2</v>
      </c>
      <c r="F203" s="33"/>
      <c r="G203" s="34" t="s">
        <v>36</v>
      </c>
      <c r="H203" s="35" t="s">
        <v>536</v>
      </c>
      <c r="I203" s="34" t="s">
        <v>11</v>
      </c>
      <c r="J203" s="74"/>
      <c r="K203" s="74"/>
      <c r="L203" s="74" t="s">
        <v>1001</v>
      </c>
      <c r="M203" s="20" t="s">
        <v>1002</v>
      </c>
    </row>
    <row r="204" spans="1:13" ht="90" x14ac:dyDescent="0.3">
      <c r="A204" s="175" t="s">
        <v>155</v>
      </c>
      <c r="B204" s="190" t="s">
        <v>537</v>
      </c>
      <c r="C204" s="175" t="s">
        <v>37</v>
      </c>
      <c r="D204" s="170" t="s">
        <v>523</v>
      </c>
      <c r="E204" s="175" t="s">
        <v>2</v>
      </c>
      <c r="F204" s="175"/>
      <c r="G204" s="177" t="s">
        <v>2</v>
      </c>
      <c r="H204" s="178" t="s">
        <v>538</v>
      </c>
      <c r="I204" s="177" t="s">
        <v>11</v>
      </c>
      <c r="J204" s="179" t="s">
        <v>35</v>
      </c>
      <c r="K204" s="180"/>
      <c r="L204" s="179" t="s">
        <v>1001</v>
      </c>
    </row>
    <row r="205" spans="1:13" ht="255" x14ac:dyDescent="0.3">
      <c r="A205" s="175" t="s">
        <v>157</v>
      </c>
      <c r="B205" s="190" t="s">
        <v>539</v>
      </c>
      <c r="C205" s="175" t="s">
        <v>37</v>
      </c>
      <c r="D205" s="170" t="s">
        <v>523</v>
      </c>
      <c r="E205" s="175" t="s">
        <v>2</v>
      </c>
      <c r="F205" s="175"/>
      <c r="G205" s="177" t="s">
        <v>2</v>
      </c>
      <c r="H205" s="178" t="s">
        <v>540</v>
      </c>
      <c r="I205" s="177" t="s">
        <v>11</v>
      </c>
      <c r="J205" s="179" t="s">
        <v>35</v>
      </c>
      <c r="K205" s="180" t="s">
        <v>541</v>
      </c>
      <c r="L205" s="179" t="s">
        <v>1001</v>
      </c>
    </row>
    <row r="206" spans="1:13" s="20" customFormat="1" ht="180" x14ac:dyDescent="0.3">
      <c r="A206" s="33" t="s">
        <v>159</v>
      </c>
      <c r="B206" s="190" t="s">
        <v>542</v>
      </c>
      <c r="C206" s="33" t="s">
        <v>37</v>
      </c>
      <c r="D206" s="31" t="s">
        <v>523</v>
      </c>
      <c r="E206" s="33" t="s">
        <v>2</v>
      </c>
      <c r="F206" s="33"/>
      <c r="G206" s="34" t="s">
        <v>36</v>
      </c>
      <c r="H206" s="35"/>
      <c r="I206" s="34" t="s">
        <v>11</v>
      </c>
      <c r="J206" s="74"/>
      <c r="K206" s="74"/>
      <c r="L206" s="74" t="s">
        <v>1001</v>
      </c>
    </row>
    <row r="207" spans="1:13" s="20" customFormat="1" ht="225" x14ac:dyDescent="0.3">
      <c r="A207" s="33" t="s">
        <v>161</v>
      </c>
      <c r="B207" s="190" t="s">
        <v>543</v>
      </c>
      <c r="C207" s="33" t="s">
        <v>37</v>
      </c>
      <c r="D207" s="31" t="s">
        <v>523</v>
      </c>
      <c r="E207" s="33" t="s">
        <v>2</v>
      </c>
      <c r="F207" s="33"/>
      <c r="G207" s="34" t="s">
        <v>36</v>
      </c>
      <c r="H207" s="35"/>
      <c r="I207" s="34" t="s">
        <v>11</v>
      </c>
      <c r="J207" s="74"/>
      <c r="K207" s="74"/>
      <c r="L207" s="74" t="s">
        <v>1001</v>
      </c>
    </row>
    <row r="208" spans="1:13" s="20" customFormat="1" ht="75" x14ac:dyDescent="0.3">
      <c r="A208" s="33" t="s">
        <v>164</v>
      </c>
      <c r="B208" s="190" t="s">
        <v>544</v>
      </c>
      <c r="C208" s="33" t="s">
        <v>37</v>
      </c>
      <c r="D208" s="31" t="s">
        <v>523</v>
      </c>
      <c r="E208" s="33" t="s">
        <v>2</v>
      </c>
      <c r="F208" s="33"/>
      <c r="G208" s="34" t="s">
        <v>36</v>
      </c>
      <c r="H208" s="35"/>
      <c r="I208" s="34" t="s">
        <v>11</v>
      </c>
      <c r="J208" s="74"/>
      <c r="K208" s="74"/>
      <c r="L208" s="74" t="s">
        <v>35</v>
      </c>
      <c r="M208" s="20" t="s">
        <v>1003</v>
      </c>
    </row>
    <row r="209" spans="1:13" s="20" customFormat="1" ht="120" x14ac:dyDescent="0.3">
      <c r="A209" s="33" t="s">
        <v>167</v>
      </c>
      <c r="B209" s="190" t="s">
        <v>545</v>
      </c>
      <c r="C209" s="33" t="s">
        <v>37</v>
      </c>
      <c r="D209" s="31" t="s">
        <v>523</v>
      </c>
      <c r="E209" s="33" t="s">
        <v>2</v>
      </c>
      <c r="F209" s="33"/>
      <c r="G209" s="34" t="s">
        <v>36</v>
      </c>
      <c r="H209" s="35"/>
      <c r="I209" s="34" t="s">
        <v>11</v>
      </c>
      <c r="J209" s="74"/>
      <c r="K209" s="74"/>
      <c r="L209" s="74" t="s">
        <v>35</v>
      </c>
      <c r="M209" s="20" t="s">
        <v>1003</v>
      </c>
    </row>
    <row r="210" spans="1:13" s="20" customFormat="1" ht="90" x14ac:dyDescent="0.3">
      <c r="A210" s="33" t="s">
        <v>169</v>
      </c>
      <c r="B210" s="190" t="s">
        <v>546</v>
      </c>
      <c r="C210" s="33" t="s">
        <v>37</v>
      </c>
      <c r="D210" s="31" t="s">
        <v>523</v>
      </c>
      <c r="E210" s="33" t="s">
        <v>2</v>
      </c>
      <c r="F210" s="33"/>
      <c r="G210" s="34" t="s">
        <v>36</v>
      </c>
      <c r="H210" s="35"/>
      <c r="I210" s="34" t="s">
        <v>11</v>
      </c>
      <c r="J210" s="74"/>
      <c r="K210" s="74"/>
      <c r="L210" s="74" t="s">
        <v>35</v>
      </c>
      <c r="M210" s="20" t="s">
        <v>1003</v>
      </c>
    </row>
    <row r="211" spans="1:13" ht="120" x14ac:dyDescent="0.3">
      <c r="A211" s="175" t="s">
        <v>172</v>
      </c>
      <c r="B211" s="190" t="s">
        <v>547</v>
      </c>
      <c r="C211" s="175" t="s">
        <v>37</v>
      </c>
      <c r="D211" s="170" t="s">
        <v>523</v>
      </c>
      <c r="E211" s="175" t="s">
        <v>2</v>
      </c>
      <c r="F211" s="175"/>
      <c r="G211" s="177" t="s">
        <v>2</v>
      </c>
      <c r="H211" s="178" t="s">
        <v>548</v>
      </c>
      <c r="I211" s="177" t="s">
        <v>11</v>
      </c>
      <c r="J211" s="179" t="s">
        <v>35</v>
      </c>
      <c r="K211" s="180"/>
      <c r="L211" s="179" t="s">
        <v>35</v>
      </c>
      <c r="M211" s="174" t="s">
        <v>1003</v>
      </c>
    </row>
    <row r="212" spans="1:13" ht="60" x14ac:dyDescent="0.3">
      <c r="A212" s="170"/>
      <c r="B212" s="190" t="s">
        <v>549</v>
      </c>
      <c r="C212" s="175" t="s">
        <v>37</v>
      </c>
      <c r="D212" s="170" t="s">
        <v>523</v>
      </c>
      <c r="E212" s="175" t="s">
        <v>2</v>
      </c>
      <c r="F212" s="175"/>
      <c r="G212" s="177" t="s">
        <v>2</v>
      </c>
      <c r="H212" s="178" t="s">
        <v>550</v>
      </c>
      <c r="I212" s="177" t="s">
        <v>11</v>
      </c>
      <c r="J212" s="179" t="s">
        <v>35</v>
      </c>
      <c r="K212" s="180"/>
      <c r="L212" s="179" t="s">
        <v>1001</v>
      </c>
    </row>
    <row r="213" spans="1:13" s="20" customFormat="1" ht="120" x14ac:dyDescent="0.3">
      <c r="A213" s="31"/>
      <c r="B213" s="190" t="s">
        <v>551</v>
      </c>
      <c r="C213" s="33" t="s">
        <v>37</v>
      </c>
      <c r="D213" s="31" t="s">
        <v>523</v>
      </c>
      <c r="E213" s="33" t="s">
        <v>2</v>
      </c>
      <c r="F213" s="33"/>
      <c r="G213" s="34" t="s">
        <v>36</v>
      </c>
      <c r="H213" s="35"/>
      <c r="I213" s="34" t="s">
        <v>11</v>
      </c>
      <c r="J213" s="74"/>
      <c r="K213" s="74"/>
      <c r="L213" s="74" t="s">
        <v>1001</v>
      </c>
    </row>
    <row r="214" spans="1:13" ht="78" x14ac:dyDescent="0.3">
      <c r="A214" s="183"/>
      <c r="B214" s="184" t="s">
        <v>552</v>
      </c>
      <c r="C214" s="185" t="s">
        <v>40</v>
      </c>
      <c r="D214" s="186" t="s">
        <v>41</v>
      </c>
      <c r="E214" s="188"/>
      <c r="F214" s="188"/>
      <c r="G214" s="188"/>
      <c r="H214" s="189"/>
      <c r="I214" s="188"/>
      <c r="J214" s="188"/>
      <c r="K214" s="189"/>
      <c r="L214" s="188"/>
    </row>
    <row r="215" spans="1:13" ht="135" x14ac:dyDescent="0.3">
      <c r="A215" s="175" t="s">
        <v>48</v>
      </c>
      <c r="B215" s="190" t="s">
        <v>553</v>
      </c>
      <c r="C215" s="175" t="s">
        <v>35</v>
      </c>
      <c r="D215" s="170" t="s">
        <v>523</v>
      </c>
      <c r="E215" s="175" t="s">
        <v>1</v>
      </c>
      <c r="F215" s="175"/>
      <c r="G215" s="177" t="s">
        <v>1</v>
      </c>
      <c r="H215" s="178"/>
      <c r="I215" s="177" t="s">
        <v>11</v>
      </c>
      <c r="J215" s="179" t="s">
        <v>35</v>
      </c>
      <c r="K215" s="180"/>
      <c r="L215" s="179" t="s">
        <v>1001</v>
      </c>
    </row>
    <row r="216" spans="1:13" ht="105" x14ac:dyDescent="0.3">
      <c r="A216" s="175" t="s">
        <v>131</v>
      </c>
      <c r="B216" s="190" t="s">
        <v>554</v>
      </c>
      <c r="C216" s="175" t="s">
        <v>35</v>
      </c>
      <c r="D216" s="170" t="s">
        <v>523</v>
      </c>
      <c r="E216" s="175" t="s">
        <v>1</v>
      </c>
      <c r="F216" s="175"/>
      <c r="G216" s="177" t="s">
        <v>1</v>
      </c>
      <c r="H216" s="178"/>
      <c r="I216" s="177" t="s">
        <v>11</v>
      </c>
      <c r="J216" s="179" t="s">
        <v>35</v>
      </c>
      <c r="K216" s="180"/>
      <c r="L216" s="179" t="s">
        <v>1001</v>
      </c>
    </row>
    <row r="217" spans="1:13" ht="105" x14ac:dyDescent="0.3">
      <c r="A217" s="175" t="s">
        <v>55</v>
      </c>
      <c r="B217" s="190" t="s">
        <v>555</v>
      </c>
      <c r="C217" s="175" t="s">
        <v>37</v>
      </c>
      <c r="D217" s="170" t="s">
        <v>523</v>
      </c>
      <c r="E217" s="175" t="s">
        <v>2</v>
      </c>
      <c r="F217" s="175"/>
      <c r="G217" s="177" t="s">
        <v>2</v>
      </c>
      <c r="H217" s="178"/>
      <c r="I217" s="177" t="s">
        <v>11</v>
      </c>
      <c r="J217" s="179" t="s">
        <v>35</v>
      </c>
      <c r="K217" s="180"/>
      <c r="L217" s="179" t="s">
        <v>1001</v>
      </c>
    </row>
    <row r="218" spans="1:13" ht="150" x14ac:dyDescent="0.3">
      <c r="A218" s="175" t="s">
        <v>63</v>
      </c>
      <c r="B218" s="190" t="s">
        <v>556</v>
      </c>
      <c r="C218" s="175" t="s">
        <v>35</v>
      </c>
      <c r="D218" s="170" t="s">
        <v>523</v>
      </c>
      <c r="E218" s="175" t="s">
        <v>1</v>
      </c>
      <c r="F218" s="175"/>
      <c r="G218" s="177" t="s">
        <v>1</v>
      </c>
      <c r="H218" s="178"/>
      <c r="I218" s="177" t="s">
        <v>11</v>
      </c>
      <c r="J218" s="179" t="s">
        <v>35</v>
      </c>
      <c r="K218" s="180" t="s">
        <v>557</v>
      </c>
      <c r="L218" s="179" t="s">
        <v>1001</v>
      </c>
    </row>
    <row r="219" spans="1:13" ht="165" x14ac:dyDescent="0.3">
      <c r="A219" s="175" t="s">
        <v>146</v>
      </c>
      <c r="B219" s="216" t="s">
        <v>558</v>
      </c>
      <c r="C219" s="175" t="s">
        <v>35</v>
      </c>
      <c r="D219" s="170" t="s">
        <v>523</v>
      </c>
      <c r="E219" s="175" t="s">
        <v>1</v>
      </c>
      <c r="F219" s="175"/>
      <c r="G219" s="177" t="s">
        <v>1</v>
      </c>
      <c r="H219" s="178"/>
      <c r="I219" s="177" t="s">
        <v>11</v>
      </c>
      <c r="J219" s="179" t="s">
        <v>35</v>
      </c>
      <c r="K219" s="180" t="s">
        <v>559</v>
      </c>
      <c r="L219" s="179" t="s">
        <v>1001</v>
      </c>
    </row>
    <row r="220" spans="1:13" ht="210" x14ac:dyDescent="0.3">
      <c r="A220" s="175" t="s">
        <v>149</v>
      </c>
      <c r="B220" s="216" t="s">
        <v>560</v>
      </c>
      <c r="C220" s="175" t="s">
        <v>35</v>
      </c>
      <c r="D220" s="170" t="s">
        <v>523</v>
      </c>
      <c r="E220" s="175" t="s">
        <v>1</v>
      </c>
      <c r="F220" s="175"/>
      <c r="G220" s="177" t="s">
        <v>1</v>
      </c>
      <c r="H220" s="178"/>
      <c r="I220" s="177" t="s">
        <v>11</v>
      </c>
      <c r="J220" s="179" t="s">
        <v>35</v>
      </c>
      <c r="K220" s="180" t="s">
        <v>559</v>
      </c>
      <c r="L220" s="179" t="s">
        <v>1001</v>
      </c>
    </row>
    <row r="221" spans="1:13" ht="195" x14ac:dyDescent="0.3">
      <c r="A221" s="175" t="s">
        <v>151</v>
      </c>
      <c r="B221" s="216" t="s">
        <v>561</v>
      </c>
      <c r="C221" s="175" t="s">
        <v>35</v>
      </c>
      <c r="D221" s="170" t="s">
        <v>523</v>
      </c>
      <c r="E221" s="175" t="s">
        <v>1</v>
      </c>
      <c r="F221" s="175"/>
      <c r="G221" s="177" t="s">
        <v>1</v>
      </c>
      <c r="H221" s="178" t="s">
        <v>562</v>
      </c>
      <c r="I221" s="177" t="s">
        <v>11</v>
      </c>
      <c r="J221" s="179" t="s">
        <v>35</v>
      </c>
      <c r="K221" s="180"/>
      <c r="L221" s="179" t="s">
        <v>1001</v>
      </c>
    </row>
    <row r="222" spans="1:13" ht="105" x14ac:dyDescent="0.3">
      <c r="A222" s="175" t="s">
        <v>153</v>
      </c>
      <c r="B222" s="190" t="s">
        <v>563</v>
      </c>
      <c r="C222" s="175" t="s">
        <v>37</v>
      </c>
      <c r="D222" s="170" t="s">
        <v>523</v>
      </c>
      <c r="E222" s="175" t="s">
        <v>2</v>
      </c>
      <c r="F222" s="175"/>
      <c r="G222" s="177" t="s">
        <v>2</v>
      </c>
      <c r="H222" s="178" t="s">
        <v>564</v>
      </c>
      <c r="I222" s="177" t="s">
        <v>11</v>
      </c>
      <c r="J222" s="179" t="s">
        <v>35</v>
      </c>
      <c r="K222" s="180" t="s">
        <v>565</v>
      </c>
      <c r="L222" s="179" t="s">
        <v>35</v>
      </c>
      <c r="M222" s="174" t="s">
        <v>1003</v>
      </c>
    </row>
    <row r="223" spans="1:13" ht="150" x14ac:dyDescent="0.3">
      <c r="A223" s="175" t="s">
        <v>155</v>
      </c>
      <c r="B223" s="190" t="s">
        <v>566</v>
      </c>
      <c r="C223" s="175" t="s">
        <v>35</v>
      </c>
      <c r="D223" s="170" t="s">
        <v>523</v>
      </c>
      <c r="E223" s="175" t="s">
        <v>1</v>
      </c>
      <c r="F223" s="175"/>
      <c r="G223" s="177" t="s">
        <v>1</v>
      </c>
      <c r="H223" s="178"/>
      <c r="I223" s="177" t="s">
        <v>11</v>
      </c>
      <c r="J223" s="179" t="s">
        <v>35</v>
      </c>
      <c r="K223" s="180"/>
      <c r="L223" s="179" t="s">
        <v>35</v>
      </c>
      <c r="M223" s="174" t="s">
        <v>1003</v>
      </c>
    </row>
    <row r="224" spans="1:13" ht="120" x14ac:dyDescent="0.3">
      <c r="A224" s="175" t="s">
        <v>157</v>
      </c>
      <c r="B224" s="190" t="s">
        <v>567</v>
      </c>
      <c r="C224" s="175" t="s">
        <v>35</v>
      </c>
      <c r="D224" s="170" t="s">
        <v>523</v>
      </c>
      <c r="E224" s="175" t="s">
        <v>1</v>
      </c>
      <c r="F224" s="175"/>
      <c r="G224" s="177" t="s">
        <v>1</v>
      </c>
      <c r="H224" s="178"/>
      <c r="I224" s="177" t="s">
        <v>11</v>
      </c>
      <c r="J224" s="179" t="s">
        <v>35</v>
      </c>
      <c r="K224" s="180"/>
      <c r="L224" s="179" t="s">
        <v>35</v>
      </c>
      <c r="M224" s="174" t="s">
        <v>1003</v>
      </c>
    </row>
    <row r="225" spans="1:13" ht="165" x14ac:dyDescent="0.3">
      <c r="A225" s="175" t="s">
        <v>159</v>
      </c>
      <c r="B225" s="190" t="s">
        <v>568</v>
      </c>
      <c r="C225" s="175" t="s">
        <v>35</v>
      </c>
      <c r="D225" s="170" t="s">
        <v>523</v>
      </c>
      <c r="E225" s="175" t="s">
        <v>1</v>
      </c>
      <c r="F225" s="175"/>
      <c r="G225" s="177" t="s">
        <v>1</v>
      </c>
      <c r="H225" s="178" t="s">
        <v>569</v>
      </c>
      <c r="I225" s="177" t="s">
        <v>11</v>
      </c>
      <c r="J225" s="179" t="s">
        <v>35</v>
      </c>
      <c r="K225" s="180" t="s">
        <v>570</v>
      </c>
      <c r="L225" s="179" t="s">
        <v>1001</v>
      </c>
    </row>
    <row r="226" spans="1:13" ht="135" x14ac:dyDescent="0.3">
      <c r="A226" s="175" t="s">
        <v>161</v>
      </c>
      <c r="B226" s="216" t="s">
        <v>571</v>
      </c>
      <c r="C226" s="175" t="s">
        <v>35</v>
      </c>
      <c r="D226" s="170" t="s">
        <v>523</v>
      </c>
      <c r="E226" s="175" t="s">
        <v>1</v>
      </c>
      <c r="F226" s="175"/>
      <c r="G226" s="177" t="s">
        <v>1</v>
      </c>
      <c r="H226" s="178"/>
      <c r="I226" s="177" t="s">
        <v>11</v>
      </c>
      <c r="J226" s="179" t="s">
        <v>35</v>
      </c>
      <c r="K226" s="180"/>
      <c r="L226" s="179" t="s">
        <v>1001</v>
      </c>
    </row>
    <row r="227" spans="1:13" ht="210" x14ac:dyDescent="0.3">
      <c r="A227" s="175" t="s">
        <v>164</v>
      </c>
      <c r="B227" s="190" t="s">
        <v>572</v>
      </c>
      <c r="C227" s="175" t="s">
        <v>35</v>
      </c>
      <c r="D227" s="170" t="s">
        <v>523</v>
      </c>
      <c r="E227" s="175" t="s">
        <v>1</v>
      </c>
      <c r="F227" s="175"/>
      <c r="G227" s="177" t="s">
        <v>1</v>
      </c>
      <c r="H227" s="178"/>
      <c r="I227" s="177" t="s">
        <v>11</v>
      </c>
      <c r="J227" s="179" t="s">
        <v>35</v>
      </c>
      <c r="K227" s="180"/>
      <c r="L227" s="179" t="s">
        <v>1001</v>
      </c>
    </row>
    <row r="228" spans="1:13" ht="105" x14ac:dyDescent="0.3">
      <c r="A228" s="175" t="s">
        <v>167</v>
      </c>
      <c r="B228" s="190" t="s">
        <v>573</v>
      </c>
      <c r="C228" s="175" t="s">
        <v>35</v>
      </c>
      <c r="D228" s="170" t="s">
        <v>523</v>
      </c>
      <c r="E228" s="175" t="s">
        <v>1</v>
      </c>
      <c r="F228" s="175"/>
      <c r="G228" s="177" t="s">
        <v>1</v>
      </c>
      <c r="H228" s="178"/>
      <c r="I228" s="177" t="s">
        <v>11</v>
      </c>
      <c r="J228" s="179" t="s">
        <v>35</v>
      </c>
      <c r="K228" s="180"/>
      <c r="L228" s="179" t="s">
        <v>1001</v>
      </c>
    </row>
    <row r="229" spans="1:13" ht="240" x14ac:dyDescent="0.3">
      <c r="A229" s="175" t="s">
        <v>169</v>
      </c>
      <c r="B229" s="216" t="s">
        <v>574</v>
      </c>
      <c r="C229" s="175" t="s">
        <v>35</v>
      </c>
      <c r="D229" s="170" t="s">
        <v>523</v>
      </c>
      <c r="E229" s="175" t="s">
        <v>1</v>
      </c>
      <c r="F229" s="175"/>
      <c r="G229" s="177" t="s">
        <v>1</v>
      </c>
      <c r="H229" s="178"/>
      <c r="I229" s="177" t="s">
        <v>11</v>
      </c>
      <c r="J229" s="179" t="s">
        <v>35</v>
      </c>
      <c r="K229" s="180"/>
      <c r="L229" s="179" t="s">
        <v>1001</v>
      </c>
    </row>
    <row r="230" spans="1:13" ht="150" x14ac:dyDescent="0.3">
      <c r="A230" s="175" t="s">
        <v>172</v>
      </c>
      <c r="B230" s="190" t="s">
        <v>575</v>
      </c>
      <c r="C230" s="175" t="s">
        <v>37</v>
      </c>
      <c r="D230" s="170" t="s">
        <v>523</v>
      </c>
      <c r="E230" s="175" t="s">
        <v>2</v>
      </c>
      <c r="F230" s="175"/>
      <c r="G230" s="177" t="s">
        <v>2</v>
      </c>
      <c r="H230" s="178" t="s">
        <v>576</v>
      </c>
      <c r="I230" s="177" t="s">
        <v>11</v>
      </c>
      <c r="J230" s="179" t="s">
        <v>35</v>
      </c>
      <c r="K230" s="180" t="s">
        <v>565</v>
      </c>
      <c r="L230" s="179" t="s">
        <v>1001</v>
      </c>
    </row>
    <row r="231" spans="1:13" ht="180" x14ac:dyDescent="0.3">
      <c r="A231" s="175" t="s">
        <v>174</v>
      </c>
      <c r="B231" s="190" t="s">
        <v>577</v>
      </c>
      <c r="C231" s="175" t="s">
        <v>37</v>
      </c>
      <c r="D231" s="170" t="s">
        <v>523</v>
      </c>
      <c r="E231" s="175" t="s">
        <v>2</v>
      </c>
      <c r="F231" s="175"/>
      <c r="G231" s="177" t="s">
        <v>2</v>
      </c>
      <c r="H231" s="178"/>
      <c r="I231" s="177" t="s">
        <v>11</v>
      </c>
      <c r="J231" s="179" t="s">
        <v>35</v>
      </c>
      <c r="K231" s="180"/>
      <c r="L231" s="179" t="s">
        <v>35</v>
      </c>
      <c r="M231" s="174" t="s">
        <v>1003</v>
      </c>
    </row>
    <row r="232" spans="1:13" ht="120" x14ac:dyDescent="0.3">
      <c r="A232" s="175" t="s">
        <v>177</v>
      </c>
      <c r="B232" s="190" t="s">
        <v>578</v>
      </c>
      <c r="C232" s="175" t="s">
        <v>35</v>
      </c>
      <c r="D232" s="170" t="s">
        <v>523</v>
      </c>
      <c r="E232" s="175" t="s">
        <v>1</v>
      </c>
      <c r="F232" s="175"/>
      <c r="G232" s="177" t="s">
        <v>1</v>
      </c>
      <c r="H232" s="178" t="s">
        <v>579</v>
      </c>
      <c r="I232" s="177" t="s">
        <v>11</v>
      </c>
      <c r="J232" s="179" t="s">
        <v>35</v>
      </c>
      <c r="K232" s="180"/>
      <c r="L232" s="179" t="s">
        <v>1001</v>
      </c>
    </row>
    <row r="233" spans="1:13" s="20" customFormat="1" ht="180" x14ac:dyDescent="0.3">
      <c r="A233" s="33" t="s">
        <v>310</v>
      </c>
      <c r="B233" s="190" t="s">
        <v>580</v>
      </c>
      <c r="C233" s="33" t="s">
        <v>35</v>
      </c>
      <c r="D233" s="31" t="s">
        <v>523</v>
      </c>
      <c r="E233" s="33" t="s">
        <v>1</v>
      </c>
      <c r="F233" s="33"/>
      <c r="G233" s="34" t="s">
        <v>36</v>
      </c>
      <c r="H233" s="35" t="s">
        <v>581</v>
      </c>
      <c r="I233" s="34" t="s">
        <v>11</v>
      </c>
      <c r="J233" s="74"/>
      <c r="K233" s="74"/>
      <c r="L233" s="74" t="s">
        <v>1001</v>
      </c>
    </row>
    <row r="234" spans="1:13" ht="409.6" x14ac:dyDescent="0.3">
      <c r="A234" s="175" t="s">
        <v>313</v>
      </c>
      <c r="B234" s="190" t="s">
        <v>582</v>
      </c>
      <c r="C234" s="175" t="s">
        <v>35</v>
      </c>
      <c r="D234" s="170" t="s">
        <v>523</v>
      </c>
      <c r="E234" s="175" t="s">
        <v>1</v>
      </c>
      <c r="F234" s="175"/>
      <c r="G234" s="177" t="s">
        <v>1</v>
      </c>
      <c r="H234" s="178"/>
      <c r="I234" s="177" t="s">
        <v>11</v>
      </c>
      <c r="J234" s="179" t="s">
        <v>35</v>
      </c>
      <c r="K234" s="180" t="s">
        <v>583</v>
      </c>
      <c r="L234" s="179" t="s">
        <v>1001</v>
      </c>
    </row>
    <row r="235" spans="1:13" ht="90" x14ac:dyDescent="0.3">
      <c r="A235" s="175" t="s">
        <v>316</v>
      </c>
      <c r="B235" s="190" t="s">
        <v>584</v>
      </c>
      <c r="C235" s="175" t="s">
        <v>37</v>
      </c>
      <c r="D235" s="170" t="s">
        <v>523</v>
      </c>
      <c r="E235" s="175" t="s">
        <v>2</v>
      </c>
      <c r="F235" s="175"/>
      <c r="G235" s="177" t="s">
        <v>2</v>
      </c>
      <c r="H235" s="178" t="s">
        <v>585</v>
      </c>
      <c r="I235" s="177" t="s">
        <v>11</v>
      </c>
      <c r="J235" s="179" t="s">
        <v>35</v>
      </c>
      <c r="K235" s="180" t="s">
        <v>565</v>
      </c>
      <c r="L235" s="179" t="s">
        <v>1001</v>
      </c>
    </row>
    <row r="236" spans="1:13" s="20" customFormat="1" ht="105" x14ac:dyDescent="0.3">
      <c r="A236" s="33" t="s">
        <v>380</v>
      </c>
      <c r="B236" s="216" t="s">
        <v>586</v>
      </c>
      <c r="C236" s="33" t="s">
        <v>37</v>
      </c>
      <c r="D236" s="31" t="s">
        <v>523</v>
      </c>
      <c r="E236" s="33" t="s">
        <v>2</v>
      </c>
      <c r="F236" s="33"/>
      <c r="G236" s="34" t="s">
        <v>36</v>
      </c>
      <c r="H236" s="35"/>
      <c r="I236" s="34" t="s">
        <v>11</v>
      </c>
      <c r="J236" s="74"/>
      <c r="K236" s="74"/>
      <c r="L236" s="74" t="s">
        <v>1001</v>
      </c>
    </row>
    <row r="237" spans="1:13" ht="180" x14ac:dyDescent="0.3">
      <c r="A237" s="175" t="s">
        <v>383</v>
      </c>
      <c r="B237" s="190" t="s">
        <v>587</v>
      </c>
      <c r="C237" s="175" t="s">
        <v>35</v>
      </c>
      <c r="D237" s="170" t="s">
        <v>523</v>
      </c>
      <c r="E237" s="175" t="s">
        <v>1</v>
      </c>
      <c r="F237" s="175"/>
      <c r="G237" s="177" t="s">
        <v>1</v>
      </c>
      <c r="H237" s="178"/>
      <c r="I237" s="177" t="s">
        <v>11</v>
      </c>
      <c r="J237" s="179" t="s">
        <v>35</v>
      </c>
      <c r="K237" s="180"/>
      <c r="L237" s="179" t="s">
        <v>1001</v>
      </c>
    </row>
    <row r="238" spans="1:13" ht="195" x14ac:dyDescent="0.3">
      <c r="A238" s="175" t="s">
        <v>385</v>
      </c>
      <c r="B238" s="190" t="s">
        <v>588</v>
      </c>
      <c r="C238" s="175" t="s">
        <v>35</v>
      </c>
      <c r="D238" s="170" t="s">
        <v>523</v>
      </c>
      <c r="E238" s="175" t="s">
        <v>1</v>
      </c>
      <c r="F238" s="175"/>
      <c r="G238" s="177" t="s">
        <v>1</v>
      </c>
      <c r="H238" s="178" t="s">
        <v>589</v>
      </c>
      <c r="I238" s="177" t="s">
        <v>11</v>
      </c>
      <c r="J238" s="179" t="s">
        <v>35</v>
      </c>
      <c r="K238" s="180"/>
      <c r="L238" s="179" t="s">
        <v>1001</v>
      </c>
    </row>
    <row r="239" spans="1:13" ht="75" x14ac:dyDescent="0.3">
      <c r="A239" s="175" t="s">
        <v>389</v>
      </c>
      <c r="B239" s="190" t="s">
        <v>590</v>
      </c>
      <c r="C239" s="175" t="s">
        <v>37</v>
      </c>
      <c r="D239" s="170" t="s">
        <v>523</v>
      </c>
      <c r="E239" s="175" t="s">
        <v>2</v>
      </c>
      <c r="F239" s="175"/>
      <c r="G239" s="177" t="s">
        <v>2</v>
      </c>
      <c r="H239" s="178" t="s">
        <v>212</v>
      </c>
      <c r="I239" s="177" t="s">
        <v>11</v>
      </c>
      <c r="J239" s="179" t="s">
        <v>35</v>
      </c>
      <c r="K239" s="180" t="s">
        <v>565</v>
      </c>
      <c r="L239" s="179" t="s">
        <v>1004</v>
      </c>
      <c r="M239" s="174" t="s">
        <v>1003</v>
      </c>
    </row>
    <row r="240" spans="1:13" ht="105" x14ac:dyDescent="0.3">
      <c r="A240" s="175" t="s">
        <v>427</v>
      </c>
      <c r="B240" s="190" t="s">
        <v>591</v>
      </c>
      <c r="C240" s="175" t="s">
        <v>37</v>
      </c>
      <c r="D240" s="170" t="s">
        <v>523</v>
      </c>
      <c r="E240" s="175" t="s">
        <v>2</v>
      </c>
      <c r="F240" s="175"/>
      <c r="G240" s="177" t="s">
        <v>2</v>
      </c>
      <c r="H240" s="178" t="s">
        <v>592</v>
      </c>
      <c r="I240" s="177" t="s">
        <v>11</v>
      </c>
      <c r="J240" s="179" t="s">
        <v>35</v>
      </c>
      <c r="K240" s="180" t="s">
        <v>565</v>
      </c>
      <c r="L240" s="179" t="s">
        <v>1001</v>
      </c>
      <c r="M240" s="174" t="s">
        <v>1003</v>
      </c>
    </row>
    <row r="241" spans="1:13" ht="60" x14ac:dyDescent="0.3">
      <c r="A241" s="175" t="s">
        <v>430</v>
      </c>
      <c r="B241" s="190" t="s">
        <v>593</v>
      </c>
      <c r="C241" s="175" t="s">
        <v>35</v>
      </c>
      <c r="D241" s="170" t="s">
        <v>523</v>
      </c>
      <c r="E241" s="175" t="s">
        <v>1</v>
      </c>
      <c r="F241" s="175"/>
      <c r="G241" s="177" t="s">
        <v>1</v>
      </c>
      <c r="H241" s="178"/>
      <c r="I241" s="177" t="s">
        <v>11</v>
      </c>
      <c r="J241" s="179" t="s">
        <v>35</v>
      </c>
      <c r="K241" s="180"/>
      <c r="L241" s="179" t="s">
        <v>1001</v>
      </c>
    </row>
    <row r="242" spans="1:13" ht="135" x14ac:dyDescent="0.3">
      <c r="A242" s="175" t="s">
        <v>433</v>
      </c>
      <c r="B242" s="190" t="s">
        <v>594</v>
      </c>
      <c r="C242" s="175" t="s">
        <v>35</v>
      </c>
      <c r="D242" s="170" t="s">
        <v>523</v>
      </c>
      <c r="E242" s="175" t="s">
        <v>1</v>
      </c>
      <c r="F242" s="175"/>
      <c r="G242" s="177" t="s">
        <v>1</v>
      </c>
      <c r="H242" s="178"/>
      <c r="I242" s="177" t="s">
        <v>11</v>
      </c>
      <c r="J242" s="179" t="s">
        <v>35</v>
      </c>
      <c r="K242" s="180"/>
      <c r="L242" s="179" t="s">
        <v>1001</v>
      </c>
    </row>
    <row r="243" spans="1:13" ht="300" x14ac:dyDescent="0.3">
      <c r="A243" s="175" t="s">
        <v>436</v>
      </c>
      <c r="B243" s="190" t="s">
        <v>595</v>
      </c>
      <c r="C243" s="175" t="s">
        <v>35</v>
      </c>
      <c r="D243" s="170" t="s">
        <v>523</v>
      </c>
      <c r="E243" s="175" t="s">
        <v>1</v>
      </c>
      <c r="F243" s="175"/>
      <c r="G243" s="177" t="s">
        <v>1</v>
      </c>
      <c r="H243" s="178" t="s">
        <v>596</v>
      </c>
      <c r="I243" s="177" t="s">
        <v>11</v>
      </c>
      <c r="J243" s="179" t="s">
        <v>35</v>
      </c>
      <c r="K243" s="180" t="s">
        <v>565</v>
      </c>
      <c r="L243" s="179" t="s">
        <v>1001</v>
      </c>
      <c r="M243" s="174" t="s">
        <v>1002</v>
      </c>
    </row>
    <row r="244" spans="1:13" ht="75" x14ac:dyDescent="0.3">
      <c r="A244" s="175"/>
      <c r="B244" s="190" t="s">
        <v>597</v>
      </c>
      <c r="C244" s="175" t="s">
        <v>35</v>
      </c>
      <c r="D244" s="170"/>
      <c r="E244" s="175" t="s">
        <v>1</v>
      </c>
      <c r="F244" s="175"/>
      <c r="G244" s="177" t="s">
        <v>1</v>
      </c>
      <c r="H244" s="178" t="s">
        <v>598</v>
      </c>
      <c r="I244" s="177" t="s">
        <v>11</v>
      </c>
      <c r="J244" s="179" t="s">
        <v>35</v>
      </c>
      <c r="K244" s="180" t="s">
        <v>565</v>
      </c>
      <c r="L244" s="179" t="s">
        <v>1001</v>
      </c>
    </row>
    <row r="245" spans="1:13" ht="165" x14ac:dyDescent="0.3">
      <c r="A245" s="175"/>
      <c r="B245" s="190" t="s">
        <v>599</v>
      </c>
      <c r="C245" s="175" t="s">
        <v>35</v>
      </c>
      <c r="D245" s="170"/>
      <c r="E245" s="175" t="s">
        <v>1</v>
      </c>
      <c r="F245" s="175"/>
      <c r="G245" s="177" t="s">
        <v>1</v>
      </c>
      <c r="H245" s="178"/>
      <c r="I245" s="177" t="s">
        <v>11</v>
      </c>
      <c r="J245" s="179" t="s">
        <v>35</v>
      </c>
      <c r="K245" s="180"/>
      <c r="L245" s="179" t="s">
        <v>1001</v>
      </c>
    </row>
    <row r="246" spans="1:13" s="20" customFormat="1" ht="30" x14ac:dyDescent="0.3">
      <c r="A246" s="33"/>
      <c r="B246" s="190" t="s">
        <v>600</v>
      </c>
      <c r="C246" s="33" t="s">
        <v>35</v>
      </c>
      <c r="D246" s="31" t="s">
        <v>523</v>
      </c>
      <c r="E246" s="33" t="s">
        <v>1</v>
      </c>
      <c r="F246" s="33"/>
      <c r="G246" s="34" t="s">
        <v>36</v>
      </c>
      <c r="H246" s="35" t="s">
        <v>601</v>
      </c>
      <c r="I246" s="34" t="s">
        <v>11</v>
      </c>
      <c r="J246" s="74"/>
      <c r="K246" s="74"/>
      <c r="L246" s="74" t="s">
        <v>1001</v>
      </c>
    </row>
    <row r="247" spans="1:13" s="20" customFormat="1" ht="195" x14ac:dyDescent="0.3">
      <c r="A247" s="33"/>
      <c r="B247" s="190" t="s">
        <v>602</v>
      </c>
      <c r="C247" s="33" t="s">
        <v>37</v>
      </c>
      <c r="D247" s="31" t="s">
        <v>523</v>
      </c>
      <c r="E247" s="33" t="s">
        <v>2</v>
      </c>
      <c r="F247" s="33"/>
      <c r="G247" s="34" t="s">
        <v>36</v>
      </c>
      <c r="H247" s="35" t="s">
        <v>603</v>
      </c>
      <c r="I247" s="34" t="s">
        <v>11</v>
      </c>
      <c r="J247" s="74"/>
      <c r="K247" s="74"/>
      <c r="L247" s="74" t="s">
        <v>1001</v>
      </c>
    </row>
    <row r="248" spans="1:13" s="20" customFormat="1" ht="45" x14ac:dyDescent="0.3">
      <c r="A248" s="33"/>
      <c r="B248" s="190" t="s">
        <v>604</v>
      </c>
      <c r="C248" s="33" t="s">
        <v>35</v>
      </c>
      <c r="D248" s="31" t="s">
        <v>523</v>
      </c>
      <c r="E248" s="33" t="s">
        <v>1</v>
      </c>
      <c r="F248" s="33"/>
      <c r="G248" s="34" t="s">
        <v>36</v>
      </c>
      <c r="H248" s="35" t="s">
        <v>601</v>
      </c>
      <c r="I248" s="34" t="s">
        <v>11</v>
      </c>
      <c r="J248" s="74"/>
      <c r="K248" s="74"/>
      <c r="L248" s="74" t="s">
        <v>1001</v>
      </c>
    </row>
    <row r="249" spans="1:13" ht="120" x14ac:dyDescent="0.3">
      <c r="A249" s="175"/>
      <c r="B249" s="190" t="s">
        <v>605</v>
      </c>
      <c r="C249" s="175" t="s">
        <v>35</v>
      </c>
      <c r="D249" s="170"/>
      <c r="E249" s="175" t="s">
        <v>2</v>
      </c>
      <c r="F249" s="175"/>
      <c r="G249" s="177" t="s">
        <v>2</v>
      </c>
      <c r="H249" s="178"/>
      <c r="I249" s="177" t="s">
        <v>11</v>
      </c>
      <c r="J249" s="179" t="s">
        <v>35</v>
      </c>
      <c r="K249" s="180"/>
      <c r="L249" s="179" t="s">
        <v>1001</v>
      </c>
    </row>
    <row r="250" spans="1:13" ht="345" x14ac:dyDescent="0.3">
      <c r="A250" s="175"/>
      <c r="B250" s="190" t="s">
        <v>606</v>
      </c>
      <c r="C250" s="175" t="s">
        <v>35</v>
      </c>
      <c r="D250" s="170"/>
      <c r="E250" s="175" t="s">
        <v>1</v>
      </c>
      <c r="F250" s="175"/>
      <c r="G250" s="177" t="s">
        <v>1</v>
      </c>
      <c r="H250" s="178"/>
      <c r="I250" s="177" t="s">
        <v>11</v>
      </c>
      <c r="J250" s="179" t="s">
        <v>35</v>
      </c>
      <c r="K250" s="180"/>
      <c r="L250" s="179" t="s">
        <v>1001</v>
      </c>
    </row>
    <row r="251" spans="1:13" s="20" customFormat="1" ht="285" x14ac:dyDescent="0.3">
      <c r="A251" s="33"/>
      <c r="B251" s="190" t="s">
        <v>607</v>
      </c>
      <c r="C251" s="33" t="s">
        <v>35</v>
      </c>
      <c r="D251" s="31"/>
      <c r="E251" s="33" t="s">
        <v>1</v>
      </c>
      <c r="F251" s="33"/>
      <c r="G251" s="34" t="s">
        <v>36</v>
      </c>
      <c r="H251" s="35" t="s">
        <v>608</v>
      </c>
      <c r="I251" s="34" t="s">
        <v>11</v>
      </c>
      <c r="J251" s="74"/>
      <c r="K251" s="74"/>
      <c r="L251" s="74" t="s">
        <v>1001</v>
      </c>
    </row>
    <row r="252" spans="1:13" ht="120" x14ac:dyDescent="0.3">
      <c r="A252" s="175"/>
      <c r="B252" s="190" t="s">
        <v>609</v>
      </c>
      <c r="C252" s="175" t="s">
        <v>37</v>
      </c>
      <c r="D252" s="170" t="s">
        <v>523</v>
      </c>
      <c r="E252" s="175" t="s">
        <v>2</v>
      </c>
      <c r="F252" s="175"/>
      <c r="G252" s="177" t="s">
        <v>2</v>
      </c>
      <c r="H252" s="178" t="s">
        <v>610</v>
      </c>
      <c r="I252" s="177" t="s">
        <v>11</v>
      </c>
      <c r="J252" s="179" t="s">
        <v>35</v>
      </c>
      <c r="K252" s="180" t="s">
        <v>565</v>
      </c>
      <c r="L252" s="179" t="s">
        <v>1001</v>
      </c>
    </row>
    <row r="253" spans="1:13" ht="180" x14ac:dyDescent="0.3">
      <c r="A253" s="175"/>
      <c r="B253" s="190" t="s">
        <v>611</v>
      </c>
      <c r="C253" s="175" t="s">
        <v>35</v>
      </c>
      <c r="D253" s="170" t="s">
        <v>523</v>
      </c>
      <c r="E253" s="175" t="s">
        <v>1</v>
      </c>
      <c r="F253" s="175"/>
      <c r="G253" s="177" t="s">
        <v>1</v>
      </c>
      <c r="H253" s="178"/>
      <c r="I253" s="177" t="s">
        <v>11</v>
      </c>
      <c r="J253" s="179" t="s">
        <v>35</v>
      </c>
      <c r="K253" s="180"/>
      <c r="L253" s="179" t="s">
        <v>1001</v>
      </c>
    </row>
    <row r="254" spans="1:13" ht="120" x14ac:dyDescent="0.3">
      <c r="A254" s="175"/>
      <c r="B254" s="190" t="s">
        <v>612</v>
      </c>
      <c r="C254" s="175" t="s">
        <v>37</v>
      </c>
      <c r="D254" s="170" t="s">
        <v>523</v>
      </c>
      <c r="E254" s="175" t="s">
        <v>2</v>
      </c>
      <c r="F254" s="175"/>
      <c r="G254" s="177" t="s">
        <v>2</v>
      </c>
      <c r="H254" s="178"/>
      <c r="I254" s="177" t="s">
        <v>11</v>
      </c>
      <c r="J254" s="179" t="s">
        <v>35</v>
      </c>
      <c r="K254" s="180"/>
      <c r="L254" s="179" t="s">
        <v>1001</v>
      </c>
    </row>
    <row r="255" spans="1:13" s="20" customFormat="1" ht="135" x14ac:dyDescent="0.3">
      <c r="A255" s="33"/>
      <c r="B255" s="190" t="s">
        <v>613</v>
      </c>
      <c r="C255" s="33" t="s">
        <v>37</v>
      </c>
      <c r="D255" s="31" t="s">
        <v>523</v>
      </c>
      <c r="E255" s="33" t="s">
        <v>2</v>
      </c>
      <c r="F255" s="33"/>
      <c r="G255" s="34" t="s">
        <v>36</v>
      </c>
      <c r="H255" s="35"/>
      <c r="I255" s="34" t="s">
        <v>11</v>
      </c>
      <c r="J255" s="74"/>
      <c r="K255" s="74"/>
      <c r="L255" s="74" t="s">
        <v>1001</v>
      </c>
    </row>
    <row r="256" spans="1:13" ht="45" x14ac:dyDescent="0.3">
      <c r="A256" s="175"/>
      <c r="B256" s="190" t="s">
        <v>614</v>
      </c>
      <c r="C256" s="175" t="s">
        <v>37</v>
      </c>
      <c r="D256" s="170" t="s">
        <v>523</v>
      </c>
      <c r="E256" s="175" t="s">
        <v>2</v>
      </c>
      <c r="F256" s="175"/>
      <c r="G256" s="177" t="s">
        <v>2</v>
      </c>
      <c r="H256" s="178" t="s">
        <v>615</v>
      </c>
      <c r="I256" s="177" t="s">
        <v>11</v>
      </c>
      <c r="J256" s="179" t="s">
        <v>35</v>
      </c>
      <c r="K256" s="180" t="s">
        <v>565</v>
      </c>
      <c r="L256" s="179" t="s">
        <v>1001</v>
      </c>
    </row>
    <row r="257" spans="1:13" ht="165" x14ac:dyDescent="0.3">
      <c r="A257" s="175"/>
      <c r="B257" s="190" t="s">
        <v>616</v>
      </c>
      <c r="C257" s="175" t="s">
        <v>37</v>
      </c>
      <c r="D257" s="170" t="s">
        <v>523</v>
      </c>
      <c r="E257" s="175" t="s">
        <v>2</v>
      </c>
      <c r="F257" s="175"/>
      <c r="G257" s="177" t="s">
        <v>2</v>
      </c>
      <c r="H257" s="178"/>
      <c r="I257" s="177" t="s">
        <v>11</v>
      </c>
      <c r="J257" s="179" t="s">
        <v>35</v>
      </c>
      <c r="K257" s="180"/>
      <c r="L257" s="179" t="s">
        <v>1001</v>
      </c>
    </row>
    <row r="258" spans="1:13" ht="150" x14ac:dyDescent="0.3">
      <c r="A258" s="175"/>
      <c r="B258" s="190" t="s">
        <v>617</v>
      </c>
      <c r="C258" s="175" t="s">
        <v>35</v>
      </c>
      <c r="D258" s="170"/>
      <c r="E258" s="175" t="s">
        <v>1</v>
      </c>
      <c r="F258" s="175"/>
      <c r="G258" s="177" t="s">
        <v>1</v>
      </c>
      <c r="H258" s="178" t="s">
        <v>618</v>
      </c>
      <c r="I258" s="177" t="s">
        <v>11</v>
      </c>
      <c r="J258" s="179" t="s">
        <v>35</v>
      </c>
      <c r="K258" s="180" t="s">
        <v>565</v>
      </c>
      <c r="L258" s="179" t="s">
        <v>1001</v>
      </c>
      <c r="M258" s="174" t="s">
        <v>1002</v>
      </c>
    </row>
    <row r="259" spans="1:13" ht="120" x14ac:dyDescent="0.3">
      <c r="A259" s="175"/>
      <c r="B259" s="190" t="s">
        <v>619</v>
      </c>
      <c r="C259" s="175" t="s">
        <v>35</v>
      </c>
      <c r="D259" s="170"/>
      <c r="E259" s="175" t="s">
        <v>1</v>
      </c>
      <c r="F259" s="175"/>
      <c r="G259" s="177" t="s">
        <v>1</v>
      </c>
      <c r="H259" s="178"/>
      <c r="I259" s="177" t="s">
        <v>11</v>
      </c>
      <c r="J259" s="179" t="s">
        <v>35</v>
      </c>
      <c r="K259" s="180"/>
      <c r="L259" s="179" t="s">
        <v>1001</v>
      </c>
    </row>
    <row r="260" spans="1:13" s="20" customFormat="1" ht="60" x14ac:dyDescent="0.3">
      <c r="A260" s="33"/>
      <c r="B260" s="190" t="s">
        <v>620</v>
      </c>
      <c r="C260" s="33" t="s">
        <v>35</v>
      </c>
      <c r="D260" s="31"/>
      <c r="E260" s="33" t="s">
        <v>1</v>
      </c>
      <c r="F260" s="33"/>
      <c r="G260" s="34" t="s">
        <v>36</v>
      </c>
      <c r="H260" s="35" t="s">
        <v>621</v>
      </c>
      <c r="I260" s="34" t="s">
        <v>11</v>
      </c>
      <c r="J260" s="74"/>
      <c r="K260" s="74"/>
      <c r="L260" s="74" t="s">
        <v>1001</v>
      </c>
    </row>
    <row r="261" spans="1:13" ht="90" x14ac:dyDescent="0.3">
      <c r="A261" s="175"/>
      <c r="B261" s="190" t="s">
        <v>622</v>
      </c>
      <c r="C261" s="175" t="s">
        <v>35</v>
      </c>
      <c r="D261" s="170"/>
      <c r="E261" s="175" t="s">
        <v>1</v>
      </c>
      <c r="F261" s="175"/>
      <c r="G261" s="177" t="s">
        <v>1</v>
      </c>
      <c r="H261" s="178"/>
      <c r="I261" s="177" t="s">
        <v>11</v>
      </c>
      <c r="J261" s="179" t="s">
        <v>35</v>
      </c>
      <c r="K261" s="180"/>
      <c r="L261" s="179" t="s">
        <v>1001</v>
      </c>
    </row>
    <row r="262" spans="1:13" ht="90" x14ac:dyDescent="0.3">
      <c r="A262" s="175"/>
      <c r="B262" s="190" t="s">
        <v>623</v>
      </c>
      <c r="C262" s="175" t="s">
        <v>35</v>
      </c>
      <c r="D262" s="170"/>
      <c r="E262" s="175" t="s">
        <v>1</v>
      </c>
      <c r="F262" s="175"/>
      <c r="G262" s="177" t="s">
        <v>1</v>
      </c>
      <c r="H262" s="178"/>
      <c r="I262" s="177" t="s">
        <v>11</v>
      </c>
      <c r="J262" s="179" t="s">
        <v>35</v>
      </c>
      <c r="K262" s="180"/>
      <c r="L262" s="179" t="s">
        <v>1001</v>
      </c>
    </row>
    <row r="263" spans="1:13" s="20" customFormat="1" ht="75" x14ac:dyDescent="0.3">
      <c r="A263" s="31"/>
      <c r="B263" s="190" t="s">
        <v>624</v>
      </c>
      <c r="C263" s="33" t="s">
        <v>35</v>
      </c>
      <c r="D263" s="31"/>
      <c r="E263" s="33" t="s">
        <v>1</v>
      </c>
      <c r="F263" s="33"/>
      <c r="G263" s="34" t="s">
        <v>36</v>
      </c>
      <c r="H263" s="35" t="s">
        <v>625</v>
      </c>
      <c r="I263" s="34" t="s">
        <v>11</v>
      </c>
      <c r="J263" s="74"/>
      <c r="K263" s="74"/>
      <c r="L263" s="74" t="s">
        <v>1001</v>
      </c>
    </row>
    <row r="264" spans="1:13" s="20" customFormat="1" ht="270" x14ac:dyDescent="0.3">
      <c r="A264" s="31"/>
      <c r="B264" s="190" t="s">
        <v>626</v>
      </c>
      <c r="C264" s="33" t="s">
        <v>37</v>
      </c>
      <c r="D264" s="31" t="s">
        <v>523</v>
      </c>
      <c r="E264" s="33" t="s">
        <v>2</v>
      </c>
      <c r="F264" s="33"/>
      <c r="G264" s="34" t="s">
        <v>36</v>
      </c>
      <c r="H264" s="35" t="s">
        <v>627</v>
      </c>
      <c r="I264" s="34" t="s">
        <v>11</v>
      </c>
      <c r="J264" s="74"/>
      <c r="K264" s="74"/>
      <c r="L264" s="74" t="s">
        <v>1001</v>
      </c>
    </row>
    <row r="265" spans="1:13" ht="75" x14ac:dyDescent="0.3">
      <c r="A265" s="170"/>
      <c r="B265" s="190" t="s">
        <v>628</v>
      </c>
      <c r="C265" s="175" t="s">
        <v>37</v>
      </c>
      <c r="D265" s="170" t="s">
        <v>523</v>
      </c>
      <c r="E265" s="175" t="s">
        <v>2</v>
      </c>
      <c r="F265" s="175"/>
      <c r="G265" s="177" t="s">
        <v>2</v>
      </c>
      <c r="H265" s="178"/>
      <c r="I265" s="177" t="s">
        <v>11</v>
      </c>
      <c r="J265" s="179" t="s">
        <v>35</v>
      </c>
      <c r="K265" s="180"/>
      <c r="L265" s="179" t="s">
        <v>1001</v>
      </c>
    </row>
    <row r="266" spans="1:13" s="20" customFormat="1" ht="135" x14ac:dyDescent="0.3">
      <c r="A266" s="31"/>
      <c r="B266" s="190" t="s">
        <v>629</v>
      </c>
      <c r="C266" s="33" t="s">
        <v>37</v>
      </c>
      <c r="D266" s="31" t="s">
        <v>523</v>
      </c>
      <c r="E266" s="33" t="s">
        <v>2</v>
      </c>
      <c r="F266" s="33"/>
      <c r="G266" s="34" t="s">
        <v>36</v>
      </c>
      <c r="H266" s="35"/>
      <c r="I266" s="34" t="s">
        <v>11</v>
      </c>
      <c r="J266" s="74"/>
      <c r="K266" s="74"/>
      <c r="L266" s="74" t="s">
        <v>1001</v>
      </c>
    </row>
    <row r="267" spans="1:13" ht="60" x14ac:dyDescent="0.3">
      <c r="A267" s="170"/>
      <c r="B267" s="190" t="s">
        <v>630</v>
      </c>
      <c r="C267" s="175" t="s">
        <v>35</v>
      </c>
      <c r="D267" s="170"/>
      <c r="E267" s="175" t="s">
        <v>1</v>
      </c>
      <c r="F267" s="175"/>
      <c r="G267" s="177" t="s">
        <v>1</v>
      </c>
      <c r="H267" s="178"/>
      <c r="I267" s="177" t="s">
        <v>11</v>
      </c>
      <c r="J267" s="179" t="s">
        <v>35</v>
      </c>
      <c r="K267" s="180"/>
      <c r="L267" s="179" t="s">
        <v>1001</v>
      </c>
    </row>
    <row r="268" spans="1:13" ht="60" x14ac:dyDescent="0.3">
      <c r="A268" s="170"/>
      <c r="B268" s="190" t="s">
        <v>631</v>
      </c>
      <c r="C268" s="175" t="s">
        <v>35</v>
      </c>
      <c r="D268" s="170"/>
      <c r="E268" s="175" t="s">
        <v>1</v>
      </c>
      <c r="F268" s="175"/>
      <c r="G268" s="177" t="s">
        <v>1</v>
      </c>
      <c r="H268" s="178"/>
      <c r="I268" s="177" t="s">
        <v>11</v>
      </c>
      <c r="J268" s="179" t="s">
        <v>35</v>
      </c>
      <c r="K268" s="180"/>
      <c r="L268" s="179" t="s">
        <v>1001</v>
      </c>
    </row>
    <row r="269" spans="1:13" ht="45" x14ac:dyDescent="0.3">
      <c r="A269" s="170"/>
      <c r="B269" s="190" t="s">
        <v>632</v>
      </c>
      <c r="C269" s="175" t="s">
        <v>35</v>
      </c>
      <c r="D269" s="170"/>
      <c r="E269" s="175" t="s">
        <v>1</v>
      </c>
      <c r="F269" s="175"/>
      <c r="G269" s="177" t="s">
        <v>1</v>
      </c>
      <c r="H269" s="178"/>
      <c r="I269" s="177" t="s">
        <v>11</v>
      </c>
      <c r="J269" s="179" t="s">
        <v>35</v>
      </c>
      <c r="K269" s="180"/>
      <c r="L269" s="179" t="s">
        <v>1001</v>
      </c>
    </row>
    <row r="270" spans="1:13" ht="90" x14ac:dyDescent="0.3">
      <c r="A270" s="170"/>
      <c r="B270" s="190" t="s">
        <v>633</v>
      </c>
      <c r="C270" s="175" t="s">
        <v>35</v>
      </c>
      <c r="D270" s="170"/>
      <c r="E270" s="175" t="s">
        <v>1</v>
      </c>
      <c r="F270" s="175"/>
      <c r="G270" s="177" t="s">
        <v>1</v>
      </c>
      <c r="H270" s="178"/>
      <c r="I270" s="177" t="s">
        <v>11</v>
      </c>
      <c r="J270" s="179" t="s">
        <v>35</v>
      </c>
      <c r="K270" s="180"/>
      <c r="L270" s="179" t="s">
        <v>1001</v>
      </c>
    </row>
    <row r="271" spans="1:13" ht="105" x14ac:dyDescent="0.3">
      <c r="A271" s="170"/>
      <c r="B271" s="190" t="s">
        <v>634</v>
      </c>
      <c r="C271" s="175" t="s">
        <v>35</v>
      </c>
      <c r="D271" s="170"/>
      <c r="E271" s="175" t="s">
        <v>1</v>
      </c>
      <c r="F271" s="175"/>
      <c r="G271" s="177" t="s">
        <v>1</v>
      </c>
      <c r="H271" s="178"/>
      <c r="I271" s="177" t="s">
        <v>11</v>
      </c>
      <c r="J271" s="179" t="s">
        <v>35</v>
      </c>
      <c r="K271" s="180"/>
      <c r="L271" s="179" t="s">
        <v>1001</v>
      </c>
    </row>
    <row r="272" spans="1:13" ht="45" x14ac:dyDescent="0.3">
      <c r="A272" s="170"/>
      <c r="B272" s="190" t="s">
        <v>635</v>
      </c>
      <c r="C272" s="175" t="s">
        <v>35</v>
      </c>
      <c r="D272" s="170"/>
      <c r="E272" s="175" t="s">
        <v>1</v>
      </c>
      <c r="F272" s="175"/>
      <c r="G272" s="177" t="s">
        <v>1</v>
      </c>
      <c r="H272" s="178"/>
      <c r="I272" s="177" t="s">
        <v>11</v>
      </c>
      <c r="J272" s="179" t="s">
        <v>35</v>
      </c>
      <c r="K272" s="180"/>
      <c r="L272" s="179" t="s">
        <v>1001</v>
      </c>
    </row>
  </sheetData>
  <autoFilter ref="A1:L272" xr:uid="{A3D90515-9AA9-44E3-8BE7-080CE3AFC026}"/>
  <mergeCells count="9">
    <mergeCell ref="B190:B191"/>
    <mergeCell ref="F6:F7"/>
    <mergeCell ref="F8:F36"/>
    <mergeCell ref="A21:A36"/>
    <mergeCell ref="A2:A5"/>
    <mergeCell ref="A6:A7"/>
    <mergeCell ref="A8:A13"/>
    <mergeCell ref="A15:A17"/>
    <mergeCell ref="A18:A20"/>
  </mergeCells>
  <conditionalFormatting sqref="G1:G5 G7 G11:G14 G16 G19 G23:G28 G30:G272">
    <cfRule type="cellIs" dxfId="35" priority="1" operator="equal">
      <formula>"X"</formula>
    </cfRule>
    <cfRule type="cellIs" dxfId="34" priority="2" operator="equal">
      <formula>"N"</formula>
    </cfRule>
    <cfRule type="containsText" dxfId="33" priority="3" operator="containsText" text="SX">
      <formula>NOT(ISERROR(SEARCH("SX",G1)))</formula>
    </cfRule>
  </conditionalFormatting>
  <pageMargins left="0.7" right="0.7" top="0.75" bottom="0.75" header="0.3" footer="0.3"/>
  <pageSetup paperSize="9" scale="55"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C4862-2BC4-4297-8389-D06FD6203686}">
  <sheetPr>
    <tabColor theme="7"/>
    <pageSetUpPr fitToPage="1"/>
  </sheetPr>
  <dimension ref="A1:M121"/>
  <sheetViews>
    <sheetView zoomScale="85" zoomScaleNormal="85" workbookViewId="0">
      <pane ySplit="1" topLeftCell="A2" activePane="bottomLeft" state="frozen"/>
      <selection activeCell="R29" sqref="R29"/>
      <selection pane="bottomLeft" activeCell="H6" sqref="H6"/>
    </sheetView>
  </sheetViews>
  <sheetFormatPr defaultColWidth="8.6640625" defaultRowHeight="15" x14ac:dyDescent="0.25"/>
  <cols>
    <col min="1" max="1" width="4.33203125" style="14" bestFit="1" customWidth="1"/>
    <col min="2" max="2" width="35" style="193" customWidth="1"/>
    <col min="3" max="3" width="10.109375" style="17" customWidth="1"/>
    <col min="4" max="4" width="10.109375" style="19" customWidth="1"/>
    <col min="5" max="6" width="10.109375" style="17" customWidth="1"/>
    <col min="7" max="7" width="10.109375" style="22" customWidth="1"/>
    <col min="8" max="8" width="30" style="14" customWidth="1"/>
    <col min="9" max="9" width="8.6640625" style="22"/>
    <col min="10" max="10" width="22.44140625" style="22" bestFit="1" customWidth="1"/>
    <col min="11" max="11" width="24" style="193" customWidth="1"/>
    <col min="12" max="12" width="11.109375" style="199" customWidth="1"/>
    <col min="13" max="16384" width="8.6640625" style="14"/>
  </cols>
  <sheetData>
    <row r="1" spans="1:13" s="113" customFormat="1" ht="45.6" x14ac:dyDescent="0.3">
      <c r="A1" s="114" t="s">
        <v>636</v>
      </c>
      <c r="B1" s="217" t="s">
        <v>637</v>
      </c>
      <c r="C1" s="116" t="s">
        <v>40</v>
      </c>
      <c r="D1" s="117" t="s">
        <v>41</v>
      </c>
      <c r="E1" s="116" t="s">
        <v>42</v>
      </c>
      <c r="F1" s="116" t="s">
        <v>43</v>
      </c>
      <c r="G1" s="118" t="s">
        <v>44</v>
      </c>
      <c r="H1" s="119" t="s">
        <v>45</v>
      </c>
      <c r="I1" s="118" t="s">
        <v>46</v>
      </c>
      <c r="J1" s="120" t="s">
        <v>47</v>
      </c>
      <c r="K1" s="121" t="s">
        <v>41</v>
      </c>
      <c r="L1" s="214" t="s">
        <v>1000</v>
      </c>
    </row>
    <row r="2" spans="1:13" ht="15.6" x14ac:dyDescent="0.25">
      <c r="A2" s="233" t="s">
        <v>48</v>
      </c>
      <c r="B2" s="171" t="s">
        <v>638</v>
      </c>
      <c r="C2" s="74"/>
      <c r="D2" s="75"/>
      <c r="E2" s="74"/>
      <c r="F2" s="234" t="s">
        <v>2</v>
      </c>
      <c r="G2" s="74"/>
      <c r="H2" s="74"/>
      <c r="I2" s="74"/>
      <c r="J2" s="74"/>
      <c r="K2" s="172"/>
      <c r="L2" s="172"/>
    </row>
    <row r="3" spans="1:13" ht="180" x14ac:dyDescent="0.25">
      <c r="A3" s="233"/>
      <c r="B3" s="197" t="s">
        <v>639</v>
      </c>
      <c r="C3" s="33" t="s">
        <v>35</v>
      </c>
      <c r="D3" s="44"/>
      <c r="E3" s="33" t="s">
        <v>1</v>
      </c>
      <c r="F3" s="232"/>
      <c r="G3" s="46" t="s">
        <v>1</v>
      </c>
      <c r="H3" s="47"/>
      <c r="I3" s="46" t="s">
        <v>13</v>
      </c>
      <c r="J3" s="122" t="s">
        <v>35</v>
      </c>
      <c r="K3" s="200"/>
      <c r="L3" s="219" t="s">
        <v>1001</v>
      </c>
    </row>
    <row r="4" spans="1:13" ht="120" x14ac:dyDescent="0.25">
      <c r="A4" s="233"/>
      <c r="B4" s="197" t="s">
        <v>640</v>
      </c>
      <c r="C4" s="33" t="s">
        <v>35</v>
      </c>
      <c r="D4" s="44"/>
      <c r="E4" s="33" t="s">
        <v>1</v>
      </c>
      <c r="F4" s="232"/>
      <c r="G4" s="46" t="s">
        <v>1</v>
      </c>
      <c r="H4" s="47"/>
      <c r="I4" s="46" t="s">
        <v>13</v>
      </c>
      <c r="J4" s="122" t="s">
        <v>35</v>
      </c>
      <c r="K4" s="200"/>
      <c r="L4" s="219" t="s">
        <v>1001</v>
      </c>
    </row>
    <row r="5" spans="1:13" ht="105" x14ac:dyDescent="0.25">
      <c r="A5" s="233"/>
      <c r="B5" s="170" t="s">
        <v>641</v>
      </c>
      <c r="C5" s="33" t="s">
        <v>35</v>
      </c>
      <c r="D5" s="44" t="s">
        <v>642</v>
      </c>
      <c r="E5" s="33" t="s">
        <v>1</v>
      </c>
      <c r="F5" s="232"/>
      <c r="G5" s="46" t="s">
        <v>1</v>
      </c>
      <c r="H5" s="47"/>
      <c r="I5" s="46" t="s">
        <v>13</v>
      </c>
      <c r="J5" s="122" t="s">
        <v>35</v>
      </c>
      <c r="K5" s="200"/>
      <c r="L5" s="219" t="s">
        <v>1001</v>
      </c>
    </row>
    <row r="6" spans="1:13" ht="225" x14ac:dyDescent="0.25">
      <c r="A6" s="233"/>
      <c r="B6" s="170" t="s">
        <v>643</v>
      </c>
      <c r="C6" s="33" t="s">
        <v>35</v>
      </c>
      <c r="D6" s="44"/>
      <c r="E6" s="33" t="s">
        <v>2</v>
      </c>
      <c r="F6" s="232"/>
      <c r="G6" s="46" t="s">
        <v>2</v>
      </c>
      <c r="H6" s="47"/>
      <c r="I6" s="46" t="s">
        <v>13</v>
      </c>
      <c r="J6" s="122" t="s">
        <v>37</v>
      </c>
      <c r="K6" s="200" t="s">
        <v>644</v>
      </c>
      <c r="L6" s="219" t="s">
        <v>1001</v>
      </c>
    </row>
    <row r="7" spans="1:13" ht="276" x14ac:dyDescent="0.25">
      <c r="A7" s="233"/>
      <c r="B7" s="170" t="s">
        <v>645</v>
      </c>
      <c r="C7" s="33" t="s">
        <v>35</v>
      </c>
      <c r="D7" s="44"/>
      <c r="E7" s="33" t="s">
        <v>1</v>
      </c>
      <c r="F7" s="232"/>
      <c r="G7" s="46" t="s">
        <v>1</v>
      </c>
      <c r="H7" s="47"/>
      <c r="I7" s="46" t="s">
        <v>13</v>
      </c>
      <c r="J7" s="122" t="s">
        <v>37</v>
      </c>
      <c r="K7" s="200" t="s">
        <v>646</v>
      </c>
      <c r="L7" s="219" t="s">
        <v>1001</v>
      </c>
    </row>
    <row r="8" spans="1:13" ht="75" x14ac:dyDescent="0.25">
      <c r="A8" s="233"/>
      <c r="B8" s="170" t="s">
        <v>647</v>
      </c>
      <c r="C8" s="33" t="s">
        <v>35</v>
      </c>
      <c r="D8" s="44"/>
      <c r="E8" s="33" t="s">
        <v>1</v>
      </c>
      <c r="F8" s="232"/>
      <c r="G8" s="46" t="s">
        <v>1</v>
      </c>
      <c r="H8" s="47"/>
      <c r="I8" s="46" t="s">
        <v>13</v>
      </c>
      <c r="J8" s="122" t="s">
        <v>35</v>
      </c>
      <c r="K8" s="200"/>
      <c r="L8" s="219" t="s">
        <v>1001</v>
      </c>
    </row>
    <row r="9" spans="1:13" ht="135" x14ac:dyDescent="0.25">
      <c r="A9" s="233"/>
      <c r="B9" s="170" t="s">
        <v>648</v>
      </c>
      <c r="C9" s="33" t="s">
        <v>35</v>
      </c>
      <c r="D9" s="44" t="s">
        <v>649</v>
      </c>
      <c r="E9" s="33" t="s">
        <v>2</v>
      </c>
      <c r="F9" s="232"/>
      <c r="G9" s="46" t="s">
        <v>2</v>
      </c>
      <c r="H9" s="47" t="s">
        <v>650</v>
      </c>
      <c r="I9" s="46" t="s">
        <v>13</v>
      </c>
      <c r="J9" s="122" t="s">
        <v>35</v>
      </c>
      <c r="K9" s="200"/>
      <c r="L9" s="219" t="s">
        <v>1001</v>
      </c>
    </row>
    <row r="10" spans="1:13" ht="193.2" x14ac:dyDescent="0.25">
      <c r="A10" s="233"/>
      <c r="B10" s="170" t="s">
        <v>651</v>
      </c>
      <c r="C10" s="33" t="s">
        <v>35</v>
      </c>
      <c r="D10" s="44" t="s">
        <v>652</v>
      </c>
      <c r="E10" s="33" t="s">
        <v>2</v>
      </c>
      <c r="F10" s="232"/>
      <c r="G10" s="46" t="s">
        <v>2</v>
      </c>
      <c r="H10" s="47"/>
      <c r="I10" s="46" t="s">
        <v>13</v>
      </c>
      <c r="J10" s="122" t="s">
        <v>35</v>
      </c>
      <c r="K10" s="200" t="s">
        <v>653</v>
      </c>
      <c r="L10" s="219" t="s">
        <v>1001</v>
      </c>
    </row>
    <row r="11" spans="1:13" ht="45" x14ac:dyDescent="0.25">
      <c r="A11" s="233"/>
      <c r="B11" s="170" t="s">
        <v>654</v>
      </c>
      <c r="C11" s="33" t="s">
        <v>35</v>
      </c>
      <c r="D11" s="44"/>
      <c r="E11" s="33" t="s">
        <v>2</v>
      </c>
      <c r="F11" s="232"/>
      <c r="G11" s="46" t="s">
        <v>2</v>
      </c>
      <c r="H11" s="47"/>
      <c r="I11" s="46" t="s">
        <v>13</v>
      </c>
      <c r="J11" s="122" t="s">
        <v>35</v>
      </c>
      <c r="K11" s="200"/>
      <c r="L11" s="219" t="s">
        <v>1001</v>
      </c>
    </row>
    <row r="12" spans="1:13" ht="120" x14ac:dyDescent="0.25">
      <c r="A12" s="233"/>
      <c r="B12" s="170" t="s">
        <v>655</v>
      </c>
      <c r="C12" s="33" t="s">
        <v>35</v>
      </c>
      <c r="D12" s="44" t="s">
        <v>656</v>
      </c>
      <c r="E12" s="33" t="s">
        <v>2</v>
      </c>
      <c r="F12" s="232"/>
      <c r="G12" s="46" t="s">
        <v>36</v>
      </c>
      <c r="H12" s="47" t="s">
        <v>657</v>
      </c>
      <c r="I12" s="46" t="s">
        <v>13</v>
      </c>
      <c r="J12" s="74"/>
      <c r="K12" s="74"/>
      <c r="L12" s="74" t="s">
        <v>1004</v>
      </c>
      <c r="M12" s="14" t="s">
        <v>1005</v>
      </c>
    </row>
    <row r="13" spans="1:13" ht="90" x14ac:dyDescent="0.25">
      <c r="A13" s="233"/>
      <c r="B13" s="170" t="s">
        <v>658</v>
      </c>
      <c r="C13" s="33" t="s">
        <v>35</v>
      </c>
      <c r="D13" s="44" t="s">
        <v>659</v>
      </c>
      <c r="E13" s="33" t="s">
        <v>2</v>
      </c>
      <c r="F13" s="232"/>
      <c r="G13" s="46" t="s">
        <v>36</v>
      </c>
      <c r="H13" s="47" t="s">
        <v>657</v>
      </c>
      <c r="I13" s="46" t="s">
        <v>13</v>
      </c>
      <c r="J13" s="74"/>
      <c r="K13" s="74"/>
      <c r="L13" s="74" t="s">
        <v>1004</v>
      </c>
      <c r="M13" s="14" t="s">
        <v>1005</v>
      </c>
    </row>
    <row r="14" spans="1:13" ht="15.6" x14ac:dyDescent="0.25">
      <c r="A14" s="233"/>
      <c r="B14" s="170" t="s">
        <v>660</v>
      </c>
      <c r="C14" s="33" t="s">
        <v>35</v>
      </c>
      <c r="D14" s="44"/>
      <c r="E14" s="33" t="s">
        <v>2</v>
      </c>
      <c r="F14" s="232"/>
      <c r="G14" s="46" t="s">
        <v>36</v>
      </c>
      <c r="H14" s="47" t="s">
        <v>657</v>
      </c>
      <c r="I14" s="46" t="s">
        <v>13</v>
      </c>
      <c r="J14" s="74"/>
      <c r="K14" s="74"/>
      <c r="L14" s="74" t="s">
        <v>1004</v>
      </c>
      <c r="M14" s="14" t="s">
        <v>1005</v>
      </c>
    </row>
    <row r="15" spans="1:13" ht="90" x14ac:dyDescent="0.25">
      <c r="A15" s="233"/>
      <c r="B15" s="170" t="s">
        <v>661</v>
      </c>
      <c r="C15" s="33" t="s">
        <v>35</v>
      </c>
      <c r="D15" s="58" t="s">
        <v>253</v>
      </c>
      <c r="E15" s="33" t="s">
        <v>1</v>
      </c>
      <c r="F15" s="232"/>
      <c r="G15" s="46" t="s">
        <v>1</v>
      </c>
      <c r="H15" s="47"/>
      <c r="I15" s="46" t="s">
        <v>13</v>
      </c>
      <c r="J15" s="122" t="s">
        <v>35</v>
      </c>
      <c r="K15" s="200"/>
      <c r="L15" s="219" t="s">
        <v>1001</v>
      </c>
    </row>
    <row r="16" spans="1:13" ht="45" x14ac:dyDescent="0.25">
      <c r="A16" s="233"/>
      <c r="B16" s="170" t="s">
        <v>662</v>
      </c>
      <c r="C16" s="33" t="s">
        <v>35</v>
      </c>
      <c r="D16" s="44"/>
      <c r="E16" s="33" t="s">
        <v>2</v>
      </c>
      <c r="F16" s="232"/>
      <c r="G16" s="46" t="s">
        <v>36</v>
      </c>
      <c r="H16" s="47" t="s">
        <v>663</v>
      </c>
      <c r="I16" s="46" t="s">
        <v>13</v>
      </c>
      <c r="J16" s="74"/>
      <c r="K16" s="74"/>
      <c r="L16" s="74" t="s">
        <v>1001</v>
      </c>
    </row>
    <row r="17" spans="1:12" ht="60" x14ac:dyDescent="0.25">
      <c r="A17" s="233"/>
      <c r="B17" s="170" t="s">
        <v>664</v>
      </c>
      <c r="C17" s="33" t="s">
        <v>35</v>
      </c>
      <c r="D17" s="44"/>
      <c r="E17" s="33" t="s">
        <v>1</v>
      </c>
      <c r="F17" s="232"/>
      <c r="G17" s="46" t="s">
        <v>1</v>
      </c>
      <c r="H17" s="47"/>
      <c r="I17" s="46" t="s">
        <v>13</v>
      </c>
      <c r="J17" s="122" t="s">
        <v>35</v>
      </c>
      <c r="K17" s="200"/>
      <c r="L17" s="219" t="s">
        <v>1001</v>
      </c>
    </row>
    <row r="18" spans="1:12" ht="30" x14ac:dyDescent="0.25">
      <c r="A18" s="233"/>
      <c r="B18" s="170" t="s">
        <v>665</v>
      </c>
      <c r="C18" s="33" t="s">
        <v>35</v>
      </c>
      <c r="D18" s="44"/>
      <c r="E18" s="33" t="s">
        <v>1</v>
      </c>
      <c r="F18" s="232"/>
      <c r="G18" s="46" t="s">
        <v>1</v>
      </c>
      <c r="H18" s="47"/>
      <c r="I18" s="46" t="s">
        <v>13</v>
      </c>
      <c r="J18" s="122" t="s">
        <v>35</v>
      </c>
      <c r="K18" s="200"/>
      <c r="L18" s="219" t="s">
        <v>1001</v>
      </c>
    </row>
    <row r="19" spans="1:12" ht="45" x14ac:dyDescent="0.25">
      <c r="A19" s="233"/>
      <c r="B19" s="170" t="s">
        <v>666</v>
      </c>
      <c r="C19" s="33" t="s">
        <v>35</v>
      </c>
      <c r="D19" s="44"/>
      <c r="E19" s="33" t="s">
        <v>1</v>
      </c>
      <c r="F19" s="232"/>
      <c r="G19" s="46" t="s">
        <v>1</v>
      </c>
      <c r="H19" s="47"/>
      <c r="I19" s="46" t="s">
        <v>13</v>
      </c>
      <c r="J19" s="122" t="s">
        <v>35</v>
      </c>
      <c r="K19" s="200"/>
      <c r="L19" s="219" t="s">
        <v>1001</v>
      </c>
    </row>
    <row r="20" spans="1:12" ht="135" x14ac:dyDescent="0.25">
      <c r="A20" s="31"/>
      <c r="B20" s="170" t="s">
        <v>667</v>
      </c>
      <c r="C20" s="33" t="s">
        <v>35</v>
      </c>
      <c r="D20" s="44"/>
      <c r="E20" s="33" t="s">
        <v>1</v>
      </c>
      <c r="F20" s="232"/>
      <c r="G20" s="46" t="s">
        <v>1</v>
      </c>
      <c r="H20" s="47"/>
      <c r="I20" s="46" t="s">
        <v>13</v>
      </c>
      <c r="J20" s="122" t="s">
        <v>35</v>
      </c>
      <c r="K20" s="200"/>
      <c r="L20" s="219" t="s">
        <v>1001</v>
      </c>
    </row>
    <row r="21" spans="1:12" ht="165" x14ac:dyDescent="0.25">
      <c r="A21" s="31"/>
      <c r="B21" s="170" t="s">
        <v>668</v>
      </c>
      <c r="C21" s="33" t="s">
        <v>35</v>
      </c>
      <c r="D21" s="44"/>
      <c r="E21" s="33" t="s">
        <v>1</v>
      </c>
      <c r="F21" s="232"/>
      <c r="G21" s="46" t="s">
        <v>1</v>
      </c>
      <c r="H21" s="47"/>
      <c r="I21" s="46" t="s">
        <v>13</v>
      </c>
      <c r="J21" s="122" t="s">
        <v>35</v>
      </c>
      <c r="K21" s="200"/>
      <c r="L21" s="219" t="s">
        <v>1001</v>
      </c>
    </row>
    <row r="22" spans="1:12" x14ac:dyDescent="0.25">
      <c r="A22" s="31"/>
      <c r="B22" s="170"/>
      <c r="C22" s="33"/>
      <c r="D22" s="44"/>
      <c r="E22" s="33"/>
      <c r="F22" s="232"/>
      <c r="G22" s="54"/>
      <c r="H22" s="45"/>
      <c r="I22" s="54"/>
      <c r="J22" s="54"/>
      <c r="K22" s="202"/>
      <c r="L22" s="228"/>
    </row>
    <row r="23" spans="1:12" ht="15.6" x14ac:dyDescent="0.25">
      <c r="A23" s="233" t="s">
        <v>51</v>
      </c>
      <c r="B23" s="171" t="s">
        <v>669</v>
      </c>
      <c r="C23" s="74"/>
      <c r="D23" s="75"/>
      <c r="E23" s="74"/>
      <c r="F23" s="232"/>
      <c r="G23" s="74"/>
      <c r="H23" s="74"/>
      <c r="I23" s="74"/>
      <c r="J23" s="74"/>
      <c r="K23" s="172"/>
      <c r="L23" s="172"/>
    </row>
    <row r="24" spans="1:12" ht="135" x14ac:dyDescent="0.25">
      <c r="A24" s="233"/>
      <c r="B24" s="194" t="s">
        <v>670</v>
      </c>
      <c r="C24" s="33" t="s">
        <v>35</v>
      </c>
      <c r="D24" s="58" t="s">
        <v>253</v>
      </c>
      <c r="E24" s="33" t="s">
        <v>2</v>
      </c>
      <c r="F24" s="232"/>
      <c r="G24" s="46" t="s">
        <v>36</v>
      </c>
      <c r="H24" s="47"/>
      <c r="I24" s="46" t="s">
        <v>13</v>
      </c>
      <c r="J24" s="74"/>
      <c r="K24" s="74"/>
      <c r="L24" s="74" t="s">
        <v>1001</v>
      </c>
    </row>
    <row r="25" spans="1:12" ht="105" x14ac:dyDescent="0.25">
      <c r="A25" s="233"/>
      <c r="B25" s="194" t="s">
        <v>671</v>
      </c>
      <c r="C25" s="33" t="s">
        <v>35</v>
      </c>
      <c r="D25" s="44"/>
      <c r="E25" s="33" t="s">
        <v>2</v>
      </c>
      <c r="F25" s="232"/>
      <c r="G25" s="46" t="s">
        <v>36</v>
      </c>
      <c r="H25" s="47"/>
      <c r="I25" s="46" t="s">
        <v>13</v>
      </c>
      <c r="J25" s="74"/>
      <c r="K25" s="74"/>
      <c r="L25" s="74" t="s">
        <v>1001</v>
      </c>
    </row>
    <row r="26" spans="1:12" ht="60" x14ac:dyDescent="0.25">
      <c r="A26" s="233"/>
      <c r="B26" s="194" t="s">
        <v>672</v>
      </c>
      <c r="C26" s="33" t="s">
        <v>35</v>
      </c>
      <c r="D26" s="44"/>
      <c r="E26" s="33" t="s">
        <v>2</v>
      </c>
      <c r="F26" s="232"/>
      <c r="G26" s="46" t="s">
        <v>36</v>
      </c>
      <c r="H26" s="47"/>
      <c r="I26" s="46" t="s">
        <v>13</v>
      </c>
      <c r="J26" s="74"/>
      <c r="K26" s="74"/>
      <c r="L26" s="74" t="s">
        <v>1001</v>
      </c>
    </row>
    <row r="27" spans="1:12" ht="45" x14ac:dyDescent="0.25">
      <c r="A27" s="233"/>
      <c r="B27" s="194" t="s">
        <v>673</v>
      </c>
      <c r="C27" s="74"/>
      <c r="D27" s="75"/>
      <c r="E27" s="74"/>
      <c r="F27" s="232"/>
      <c r="G27" s="74"/>
      <c r="H27" s="74"/>
      <c r="I27" s="74"/>
      <c r="J27" s="74"/>
      <c r="K27" s="172"/>
      <c r="L27" s="172" t="s">
        <v>1001</v>
      </c>
    </row>
    <row r="28" spans="1:12" x14ac:dyDescent="0.25">
      <c r="A28" s="233"/>
      <c r="B28" s="176" t="s">
        <v>674</v>
      </c>
      <c r="C28" s="33" t="s">
        <v>35</v>
      </c>
      <c r="D28" s="44"/>
      <c r="E28" s="33" t="s">
        <v>2</v>
      </c>
      <c r="F28" s="232"/>
      <c r="G28" s="46" t="s">
        <v>2</v>
      </c>
      <c r="H28" s="47"/>
      <c r="I28" s="46" t="s">
        <v>13</v>
      </c>
      <c r="J28" s="122" t="s">
        <v>35</v>
      </c>
      <c r="K28" s="200"/>
      <c r="L28" s="219" t="s">
        <v>1001</v>
      </c>
    </row>
    <row r="29" spans="1:12" ht="45" x14ac:dyDescent="0.25">
      <c r="A29" s="233"/>
      <c r="B29" s="176" t="s">
        <v>675</v>
      </c>
      <c r="C29" s="33" t="s">
        <v>35</v>
      </c>
      <c r="D29" s="44"/>
      <c r="E29" s="33" t="s">
        <v>2</v>
      </c>
      <c r="F29" s="232"/>
      <c r="G29" s="46" t="s">
        <v>2</v>
      </c>
      <c r="H29" s="47"/>
      <c r="I29" s="46" t="s">
        <v>13</v>
      </c>
      <c r="J29" s="122" t="s">
        <v>35</v>
      </c>
      <c r="K29" s="200"/>
      <c r="L29" s="219" t="s">
        <v>1001</v>
      </c>
    </row>
    <row r="30" spans="1:12" ht="90" x14ac:dyDescent="0.25">
      <c r="A30" s="233"/>
      <c r="B30" s="194" t="s">
        <v>676</v>
      </c>
      <c r="C30" s="33" t="s">
        <v>35</v>
      </c>
      <c r="D30" s="44"/>
      <c r="E30" s="33" t="s">
        <v>1</v>
      </c>
      <c r="F30" s="232"/>
      <c r="G30" s="46" t="s">
        <v>2</v>
      </c>
      <c r="H30" s="47"/>
      <c r="I30" s="46" t="s">
        <v>13</v>
      </c>
      <c r="J30" s="122" t="s">
        <v>35</v>
      </c>
      <c r="K30" s="200"/>
      <c r="L30" s="219" t="s">
        <v>1001</v>
      </c>
    </row>
    <row r="31" spans="1:12" ht="120" x14ac:dyDescent="0.25">
      <c r="A31" s="233"/>
      <c r="B31" s="194" t="s">
        <v>677</v>
      </c>
      <c r="C31" s="33" t="s">
        <v>35</v>
      </c>
      <c r="D31" s="58" t="s">
        <v>253</v>
      </c>
      <c r="E31" s="33" t="s">
        <v>1</v>
      </c>
      <c r="F31" s="232"/>
      <c r="G31" s="46" t="s">
        <v>1</v>
      </c>
      <c r="H31" s="47" t="s">
        <v>678</v>
      </c>
      <c r="I31" s="46" t="s">
        <v>13</v>
      </c>
      <c r="J31" s="122" t="s">
        <v>35</v>
      </c>
      <c r="K31" s="200"/>
      <c r="L31" s="219" t="s">
        <v>1001</v>
      </c>
    </row>
    <row r="32" spans="1:12" ht="45.6" x14ac:dyDescent="0.25">
      <c r="A32" s="233" t="s">
        <v>55</v>
      </c>
      <c r="B32" s="171" t="s">
        <v>679</v>
      </c>
      <c r="C32" s="74"/>
      <c r="D32" s="75"/>
      <c r="E32" s="74"/>
      <c r="F32" s="232" t="s">
        <v>2</v>
      </c>
      <c r="G32" s="74"/>
      <c r="H32" s="74"/>
      <c r="I32" s="74"/>
      <c r="J32" s="74"/>
      <c r="K32" s="172"/>
      <c r="L32" s="172"/>
    </row>
    <row r="33" spans="1:12" x14ac:dyDescent="0.25">
      <c r="A33" s="233"/>
      <c r="B33" s="170" t="s">
        <v>680</v>
      </c>
      <c r="C33" s="33" t="s">
        <v>35</v>
      </c>
      <c r="D33" s="44"/>
      <c r="E33" s="33" t="s">
        <v>1</v>
      </c>
      <c r="F33" s="232"/>
      <c r="G33" s="46" t="s">
        <v>1</v>
      </c>
      <c r="H33" s="47"/>
      <c r="I33" s="46" t="s">
        <v>13</v>
      </c>
      <c r="J33" s="122" t="s">
        <v>35</v>
      </c>
      <c r="K33" s="200"/>
      <c r="L33" s="219" t="s">
        <v>1001</v>
      </c>
    </row>
    <row r="34" spans="1:12" ht="45" x14ac:dyDescent="0.25">
      <c r="A34" s="233"/>
      <c r="B34" s="170" t="s">
        <v>681</v>
      </c>
      <c r="C34" s="33" t="s">
        <v>35</v>
      </c>
      <c r="D34" s="44"/>
      <c r="E34" s="33" t="s">
        <v>1</v>
      </c>
      <c r="F34" s="232"/>
      <c r="G34" s="46" t="s">
        <v>1</v>
      </c>
      <c r="H34" s="47"/>
      <c r="I34" s="46" t="s">
        <v>13</v>
      </c>
      <c r="J34" s="122" t="s">
        <v>35</v>
      </c>
      <c r="K34" s="200"/>
      <c r="L34" s="219" t="s">
        <v>1001</v>
      </c>
    </row>
    <row r="35" spans="1:12" ht="30" x14ac:dyDescent="0.25">
      <c r="A35" s="233"/>
      <c r="B35" s="170" t="s">
        <v>682</v>
      </c>
      <c r="C35" s="33" t="s">
        <v>35</v>
      </c>
      <c r="D35" s="44"/>
      <c r="E35" s="33" t="s">
        <v>1</v>
      </c>
      <c r="F35" s="232"/>
      <c r="G35" s="46" t="s">
        <v>1</v>
      </c>
      <c r="H35" s="47"/>
      <c r="I35" s="46" t="s">
        <v>13</v>
      </c>
      <c r="J35" s="122" t="s">
        <v>35</v>
      </c>
      <c r="K35" s="200"/>
      <c r="L35" s="219" t="s">
        <v>1001</v>
      </c>
    </row>
    <row r="36" spans="1:12" ht="75" x14ac:dyDescent="0.25">
      <c r="A36" s="233"/>
      <c r="B36" s="170" t="s">
        <v>683</v>
      </c>
      <c r="C36" s="33" t="s">
        <v>35</v>
      </c>
      <c r="D36" s="44"/>
      <c r="E36" s="33"/>
      <c r="F36" s="232"/>
      <c r="G36" s="46" t="s">
        <v>1</v>
      </c>
      <c r="H36" s="47"/>
      <c r="I36" s="46" t="s">
        <v>13</v>
      </c>
      <c r="J36" s="122" t="s">
        <v>35</v>
      </c>
      <c r="K36" s="200"/>
      <c r="L36" s="219" t="s">
        <v>1001</v>
      </c>
    </row>
    <row r="37" spans="1:12" ht="240" x14ac:dyDescent="0.25">
      <c r="A37" s="31"/>
      <c r="B37" s="170" t="s">
        <v>684</v>
      </c>
      <c r="C37" s="33" t="s">
        <v>35</v>
      </c>
      <c r="D37" s="44"/>
      <c r="E37" s="33" t="s">
        <v>1</v>
      </c>
      <c r="F37" s="33" t="s">
        <v>2</v>
      </c>
      <c r="G37" s="46" t="s">
        <v>1</v>
      </c>
      <c r="H37" s="47"/>
      <c r="I37" s="46" t="s">
        <v>13</v>
      </c>
      <c r="J37" s="122" t="s">
        <v>35</v>
      </c>
      <c r="K37" s="200"/>
      <c r="L37" s="219" t="s">
        <v>1001</v>
      </c>
    </row>
    <row r="38" spans="1:12" ht="31.2" x14ac:dyDescent="0.25">
      <c r="A38" s="233" t="s">
        <v>63</v>
      </c>
      <c r="B38" s="171" t="s">
        <v>685</v>
      </c>
      <c r="C38" s="74"/>
      <c r="D38" s="75"/>
      <c r="E38" s="74"/>
      <c r="F38" s="232" t="s">
        <v>2</v>
      </c>
      <c r="G38" s="74"/>
      <c r="H38" s="74"/>
      <c r="I38" s="74"/>
      <c r="J38" s="74"/>
      <c r="K38" s="172"/>
      <c r="L38" s="172"/>
    </row>
    <row r="39" spans="1:12" ht="409.6" x14ac:dyDescent="0.25">
      <c r="A39" s="233"/>
      <c r="B39" s="190" t="s">
        <v>686</v>
      </c>
      <c r="C39" s="33" t="s">
        <v>35</v>
      </c>
      <c r="D39" s="44"/>
      <c r="E39" s="33" t="s">
        <v>2</v>
      </c>
      <c r="F39" s="232"/>
      <c r="G39" s="46" t="s">
        <v>2</v>
      </c>
      <c r="H39" s="47"/>
      <c r="I39" s="46" t="s">
        <v>13</v>
      </c>
      <c r="J39" s="122" t="s">
        <v>35</v>
      </c>
      <c r="K39" s="200"/>
      <c r="L39" s="219" t="s">
        <v>1001</v>
      </c>
    </row>
    <row r="40" spans="1:12" ht="76.8" x14ac:dyDescent="0.25">
      <c r="A40" s="232" t="s">
        <v>68</v>
      </c>
      <c r="B40" s="181" t="s">
        <v>687</v>
      </c>
      <c r="C40" s="74"/>
      <c r="D40" s="75"/>
      <c r="E40" s="74"/>
      <c r="F40" s="232"/>
      <c r="G40" s="74"/>
      <c r="H40" s="74"/>
      <c r="I40" s="74"/>
      <c r="J40" s="74"/>
      <c r="K40" s="172"/>
      <c r="L40" s="172"/>
    </row>
    <row r="41" spans="1:12" ht="30" x14ac:dyDescent="0.25">
      <c r="A41" s="232"/>
      <c r="B41" s="198" t="s">
        <v>688</v>
      </c>
      <c r="C41" s="33" t="s">
        <v>35</v>
      </c>
      <c r="D41" s="69"/>
      <c r="E41" s="33" t="s">
        <v>2</v>
      </c>
      <c r="F41" s="232"/>
      <c r="G41" s="46" t="s">
        <v>2</v>
      </c>
      <c r="H41" s="47"/>
      <c r="I41" s="46" t="s">
        <v>13</v>
      </c>
      <c r="J41" s="122" t="s">
        <v>35</v>
      </c>
      <c r="K41" s="200"/>
      <c r="L41" s="219" t="s">
        <v>1004</v>
      </c>
    </row>
    <row r="42" spans="1:12" ht="60" x14ac:dyDescent="0.25">
      <c r="A42" s="232"/>
      <c r="B42" s="198" t="s">
        <v>689</v>
      </c>
      <c r="C42" s="33" t="s">
        <v>35</v>
      </c>
      <c r="D42" s="69"/>
      <c r="E42" s="33" t="s">
        <v>2</v>
      </c>
      <c r="F42" s="232"/>
      <c r="G42" s="46" t="s">
        <v>2</v>
      </c>
      <c r="H42" s="47"/>
      <c r="I42" s="46" t="s">
        <v>13</v>
      </c>
      <c r="J42" s="122" t="s">
        <v>35</v>
      </c>
      <c r="K42" s="200"/>
      <c r="L42" s="219" t="s">
        <v>1004</v>
      </c>
    </row>
    <row r="43" spans="1:12" ht="45" x14ac:dyDescent="0.25">
      <c r="A43" s="232"/>
      <c r="B43" s="198" t="s">
        <v>690</v>
      </c>
      <c r="C43" s="33" t="s">
        <v>35</v>
      </c>
      <c r="D43" s="69"/>
      <c r="E43" s="33" t="s">
        <v>2</v>
      </c>
      <c r="F43" s="232"/>
      <c r="G43" s="46" t="s">
        <v>36</v>
      </c>
      <c r="H43" s="47" t="s">
        <v>691</v>
      </c>
      <c r="I43" s="46" t="s">
        <v>13</v>
      </c>
      <c r="J43" s="74"/>
      <c r="K43" s="74"/>
      <c r="L43" s="74" t="s">
        <v>1004</v>
      </c>
    </row>
    <row r="44" spans="1:12" ht="60" x14ac:dyDescent="0.25">
      <c r="A44" s="232"/>
      <c r="B44" s="198" t="s">
        <v>692</v>
      </c>
      <c r="C44" s="33" t="s">
        <v>35</v>
      </c>
      <c r="D44" s="69"/>
      <c r="E44" s="33" t="s">
        <v>2</v>
      </c>
      <c r="F44" s="232"/>
      <c r="G44" s="46" t="s">
        <v>36</v>
      </c>
      <c r="H44" s="47" t="s">
        <v>693</v>
      </c>
      <c r="I44" s="46" t="s">
        <v>13</v>
      </c>
      <c r="J44" s="74"/>
      <c r="K44" s="74"/>
      <c r="L44" s="74" t="s">
        <v>1001</v>
      </c>
    </row>
    <row r="45" spans="1:12" ht="120" x14ac:dyDescent="0.25">
      <c r="A45" s="232"/>
      <c r="B45" s="198" t="s">
        <v>694</v>
      </c>
      <c r="C45" s="33" t="s">
        <v>35</v>
      </c>
      <c r="D45" s="69"/>
      <c r="E45" s="33" t="s">
        <v>2</v>
      </c>
      <c r="F45" s="232"/>
      <c r="G45" s="46" t="s">
        <v>36</v>
      </c>
      <c r="H45" s="47" t="s">
        <v>693</v>
      </c>
      <c r="I45" s="46" t="s">
        <v>13</v>
      </c>
      <c r="J45" s="74"/>
      <c r="K45" s="74"/>
      <c r="L45" s="74" t="s">
        <v>1001</v>
      </c>
    </row>
    <row r="46" spans="1:12" ht="30" x14ac:dyDescent="0.25">
      <c r="A46" s="232"/>
      <c r="B46" s="198" t="s">
        <v>695</v>
      </c>
      <c r="C46" s="33" t="s">
        <v>35</v>
      </c>
      <c r="D46" s="69"/>
      <c r="E46" s="33" t="s">
        <v>2</v>
      </c>
      <c r="F46" s="232"/>
      <c r="G46" s="46" t="s">
        <v>2</v>
      </c>
      <c r="H46" s="47"/>
      <c r="I46" s="46" t="s">
        <v>13</v>
      </c>
      <c r="J46" s="122" t="s">
        <v>35</v>
      </c>
      <c r="K46" s="200"/>
      <c r="L46" s="219" t="s">
        <v>1004</v>
      </c>
    </row>
    <row r="47" spans="1:12" ht="60" x14ac:dyDescent="0.25">
      <c r="A47" s="232"/>
      <c r="B47" s="198" t="s">
        <v>696</v>
      </c>
      <c r="C47" s="33" t="s">
        <v>35</v>
      </c>
      <c r="D47" s="69"/>
      <c r="E47" s="33" t="s">
        <v>2</v>
      </c>
      <c r="F47" s="232"/>
      <c r="G47" s="46" t="s">
        <v>36</v>
      </c>
      <c r="H47" s="47" t="s">
        <v>693</v>
      </c>
      <c r="I47" s="46" t="s">
        <v>13</v>
      </c>
      <c r="J47" s="74"/>
      <c r="K47" s="74"/>
      <c r="L47" s="74" t="s">
        <v>1004</v>
      </c>
    </row>
    <row r="48" spans="1:12" ht="60" x14ac:dyDescent="0.25">
      <c r="A48" s="232"/>
      <c r="B48" s="198" t="s">
        <v>697</v>
      </c>
      <c r="C48" s="33" t="s">
        <v>35</v>
      </c>
      <c r="D48" s="69"/>
      <c r="E48" s="33" t="s">
        <v>2</v>
      </c>
      <c r="F48" s="232"/>
      <c r="G48" s="46" t="s">
        <v>36</v>
      </c>
      <c r="H48" s="47" t="s">
        <v>698</v>
      </c>
      <c r="I48" s="46" t="s">
        <v>13</v>
      </c>
      <c r="J48" s="74"/>
      <c r="K48" s="74"/>
      <c r="L48" s="74" t="s">
        <v>1004</v>
      </c>
    </row>
    <row r="49" spans="1:12" ht="61.8" x14ac:dyDescent="0.25">
      <c r="A49" s="232" t="s">
        <v>72</v>
      </c>
      <c r="B49" s="181" t="s">
        <v>699</v>
      </c>
      <c r="C49" s="74"/>
      <c r="D49" s="75"/>
      <c r="E49" s="74"/>
      <c r="F49" s="232"/>
      <c r="G49" s="74"/>
      <c r="H49" s="74"/>
      <c r="I49" s="74"/>
      <c r="J49" s="74"/>
      <c r="K49" s="172"/>
      <c r="L49" s="172"/>
    </row>
    <row r="50" spans="1:12" ht="90" x14ac:dyDescent="0.25">
      <c r="A50" s="232"/>
      <c r="B50" s="198" t="s">
        <v>700</v>
      </c>
      <c r="C50" s="33" t="s">
        <v>35</v>
      </c>
      <c r="D50" s="69"/>
      <c r="E50" s="33" t="s">
        <v>2</v>
      </c>
      <c r="F50" s="232"/>
      <c r="G50" s="46" t="s">
        <v>2</v>
      </c>
      <c r="H50" s="47"/>
      <c r="I50" s="46" t="s">
        <v>13</v>
      </c>
      <c r="J50" s="122" t="s">
        <v>35</v>
      </c>
      <c r="K50" s="200"/>
      <c r="L50" s="219" t="s">
        <v>1004</v>
      </c>
    </row>
    <row r="51" spans="1:12" ht="30" x14ac:dyDescent="0.25">
      <c r="A51" s="232"/>
      <c r="B51" s="198" t="s">
        <v>701</v>
      </c>
      <c r="C51" s="33" t="s">
        <v>35</v>
      </c>
      <c r="D51" s="69"/>
      <c r="E51" s="33" t="s">
        <v>2</v>
      </c>
      <c r="F51" s="232"/>
      <c r="G51" s="46" t="s">
        <v>2</v>
      </c>
      <c r="H51" s="47"/>
      <c r="I51" s="46" t="s">
        <v>13</v>
      </c>
      <c r="J51" s="122" t="s">
        <v>35</v>
      </c>
      <c r="K51" s="200"/>
      <c r="L51" s="219" t="s">
        <v>1004</v>
      </c>
    </row>
    <row r="52" spans="1:12" ht="30" x14ac:dyDescent="0.25">
      <c r="A52" s="232"/>
      <c r="B52" s="198" t="s">
        <v>702</v>
      </c>
      <c r="C52" s="33" t="s">
        <v>35</v>
      </c>
      <c r="D52" s="69"/>
      <c r="E52" s="33" t="s">
        <v>2</v>
      </c>
      <c r="F52" s="232"/>
      <c r="G52" s="46" t="s">
        <v>36</v>
      </c>
      <c r="H52" s="47" t="s">
        <v>322</v>
      </c>
      <c r="I52" s="46" t="s">
        <v>13</v>
      </c>
      <c r="J52" s="74"/>
      <c r="K52" s="74"/>
      <c r="L52" s="74" t="s">
        <v>1004</v>
      </c>
    </row>
    <row r="53" spans="1:12" ht="75" x14ac:dyDescent="0.25">
      <c r="A53" s="232"/>
      <c r="B53" s="198" t="s">
        <v>703</v>
      </c>
      <c r="C53" s="33" t="s">
        <v>35</v>
      </c>
      <c r="D53" s="69"/>
      <c r="E53" s="33" t="s">
        <v>2</v>
      </c>
      <c r="F53" s="232"/>
      <c r="G53" s="46" t="s">
        <v>36</v>
      </c>
      <c r="H53" s="47" t="s">
        <v>322</v>
      </c>
      <c r="I53" s="46" t="s">
        <v>13</v>
      </c>
      <c r="J53" s="74"/>
      <c r="K53" s="74"/>
      <c r="L53" s="74" t="s">
        <v>1004</v>
      </c>
    </row>
    <row r="54" spans="1:12" ht="105" x14ac:dyDescent="0.25">
      <c r="A54" s="232"/>
      <c r="B54" s="198" t="s">
        <v>704</v>
      </c>
      <c r="C54" s="33" t="s">
        <v>35</v>
      </c>
      <c r="D54" s="69"/>
      <c r="E54" s="33" t="s">
        <v>2</v>
      </c>
      <c r="F54" s="232"/>
      <c r="G54" s="46" t="s">
        <v>36</v>
      </c>
      <c r="H54" s="47" t="s">
        <v>322</v>
      </c>
      <c r="I54" s="46" t="s">
        <v>13</v>
      </c>
      <c r="J54" s="74"/>
      <c r="K54" s="74"/>
      <c r="L54" s="74" t="s">
        <v>1004</v>
      </c>
    </row>
    <row r="55" spans="1:12" ht="61.8" x14ac:dyDescent="0.25">
      <c r="A55" s="232" t="s">
        <v>75</v>
      </c>
      <c r="B55" s="181" t="s">
        <v>705</v>
      </c>
      <c r="C55" s="74"/>
      <c r="D55" s="75"/>
      <c r="E55" s="74"/>
      <c r="F55" s="232"/>
      <c r="G55" s="74"/>
      <c r="H55" s="74"/>
      <c r="I55" s="74"/>
      <c r="J55" s="74"/>
      <c r="K55" s="172"/>
      <c r="L55" s="172"/>
    </row>
    <row r="56" spans="1:12" ht="60" x14ac:dyDescent="0.25">
      <c r="A56" s="232"/>
      <c r="B56" s="198" t="s">
        <v>706</v>
      </c>
      <c r="C56" s="33" t="s">
        <v>35</v>
      </c>
      <c r="D56" s="69"/>
      <c r="E56" s="33" t="s">
        <v>2</v>
      </c>
      <c r="F56" s="232"/>
      <c r="G56" s="46" t="s">
        <v>2</v>
      </c>
      <c r="H56" s="47"/>
      <c r="I56" s="46" t="s">
        <v>13</v>
      </c>
      <c r="J56" s="122" t="s">
        <v>35</v>
      </c>
      <c r="K56" s="200"/>
      <c r="L56" s="219" t="s">
        <v>1004</v>
      </c>
    </row>
    <row r="57" spans="1:12" ht="60" x14ac:dyDescent="0.25">
      <c r="A57" s="232"/>
      <c r="B57" s="198" t="s">
        <v>707</v>
      </c>
      <c r="C57" s="33" t="s">
        <v>37</v>
      </c>
      <c r="D57" s="58" t="s">
        <v>253</v>
      </c>
      <c r="E57" s="33" t="s">
        <v>2</v>
      </c>
      <c r="F57" s="232"/>
      <c r="G57" s="46" t="s">
        <v>36</v>
      </c>
      <c r="H57" s="47"/>
      <c r="I57" s="46" t="s">
        <v>13</v>
      </c>
      <c r="J57" s="74"/>
      <c r="K57" s="74"/>
      <c r="L57" s="74" t="s">
        <v>1001</v>
      </c>
    </row>
    <row r="58" spans="1:12" ht="60" x14ac:dyDescent="0.25">
      <c r="A58" s="232"/>
      <c r="B58" s="198" t="s">
        <v>708</v>
      </c>
      <c r="C58" s="33" t="s">
        <v>37</v>
      </c>
      <c r="D58" s="58" t="s">
        <v>253</v>
      </c>
      <c r="E58" s="33" t="s">
        <v>2</v>
      </c>
      <c r="F58" s="232"/>
      <c r="G58" s="46" t="s">
        <v>36</v>
      </c>
      <c r="H58" s="47"/>
      <c r="I58" s="46" t="s">
        <v>13</v>
      </c>
      <c r="J58" s="74"/>
      <c r="K58" s="74"/>
      <c r="L58" s="74" t="s">
        <v>1001</v>
      </c>
    </row>
    <row r="59" spans="1:12" ht="30" x14ac:dyDescent="0.25">
      <c r="A59" s="232"/>
      <c r="B59" s="198" t="s">
        <v>709</v>
      </c>
      <c r="C59" s="33" t="s">
        <v>35</v>
      </c>
      <c r="D59" s="69"/>
      <c r="E59" s="33" t="s">
        <v>2</v>
      </c>
      <c r="F59" s="232"/>
      <c r="G59" s="46" t="s">
        <v>2</v>
      </c>
      <c r="H59" s="47"/>
      <c r="I59" s="46" t="s">
        <v>13</v>
      </c>
      <c r="J59" s="122" t="s">
        <v>35</v>
      </c>
      <c r="K59" s="200"/>
      <c r="L59" s="219" t="s">
        <v>1001</v>
      </c>
    </row>
    <row r="60" spans="1:12" ht="45" x14ac:dyDescent="0.25">
      <c r="A60" s="232"/>
      <c r="B60" s="198" t="s">
        <v>710</v>
      </c>
      <c r="C60" s="33" t="s">
        <v>37</v>
      </c>
      <c r="D60" s="69" t="s">
        <v>711</v>
      </c>
      <c r="E60" s="33" t="s">
        <v>2</v>
      </c>
      <c r="F60" s="232"/>
      <c r="G60" s="46" t="s">
        <v>36</v>
      </c>
      <c r="H60" s="47"/>
      <c r="I60" s="46" t="s">
        <v>13</v>
      </c>
      <c r="J60" s="74"/>
      <c r="K60" s="74"/>
      <c r="L60" s="74" t="s">
        <v>1001</v>
      </c>
    </row>
    <row r="61" spans="1:12" ht="30" x14ac:dyDescent="0.25">
      <c r="A61" s="232"/>
      <c r="B61" s="198" t="s">
        <v>712</v>
      </c>
      <c r="C61" s="33" t="s">
        <v>35</v>
      </c>
      <c r="D61" s="69"/>
      <c r="E61" s="33" t="s">
        <v>2</v>
      </c>
      <c r="F61" s="232"/>
      <c r="G61" s="46" t="s">
        <v>2</v>
      </c>
      <c r="H61" s="47"/>
      <c r="I61" s="46" t="s">
        <v>13</v>
      </c>
      <c r="J61" s="122" t="s">
        <v>35</v>
      </c>
      <c r="K61" s="200"/>
      <c r="L61" s="219" t="s">
        <v>1001</v>
      </c>
    </row>
    <row r="62" spans="1:12" ht="91.8" x14ac:dyDescent="0.25">
      <c r="A62" s="232" t="s">
        <v>79</v>
      </c>
      <c r="B62" s="181" t="s">
        <v>713</v>
      </c>
      <c r="C62" s="74"/>
      <c r="D62" s="75"/>
      <c r="E62" s="74"/>
      <c r="F62" s="232"/>
      <c r="G62" s="74"/>
      <c r="H62" s="74"/>
      <c r="I62" s="74"/>
      <c r="J62" s="74"/>
      <c r="K62" s="172"/>
      <c r="L62" s="172"/>
    </row>
    <row r="63" spans="1:12" ht="45" x14ac:dyDescent="0.25">
      <c r="A63" s="232"/>
      <c r="B63" s="198" t="s">
        <v>714</v>
      </c>
      <c r="C63" s="33" t="s">
        <v>35</v>
      </c>
      <c r="D63" s="69"/>
      <c r="E63" s="33" t="s">
        <v>2</v>
      </c>
      <c r="F63" s="232"/>
      <c r="G63" s="46" t="s">
        <v>2</v>
      </c>
      <c r="H63" s="47"/>
      <c r="I63" s="46" t="s">
        <v>13</v>
      </c>
      <c r="J63" s="122" t="s">
        <v>35</v>
      </c>
      <c r="K63" s="200"/>
      <c r="L63" s="219" t="s">
        <v>1001</v>
      </c>
    </row>
    <row r="64" spans="1:12" ht="30" x14ac:dyDescent="0.25">
      <c r="A64" s="232"/>
      <c r="B64" s="198" t="s">
        <v>715</v>
      </c>
      <c r="C64" s="33" t="s">
        <v>35</v>
      </c>
      <c r="D64" s="69"/>
      <c r="E64" s="33" t="s">
        <v>2</v>
      </c>
      <c r="F64" s="232"/>
      <c r="G64" s="46" t="s">
        <v>2</v>
      </c>
      <c r="H64" s="47"/>
      <c r="I64" s="46" t="s">
        <v>13</v>
      </c>
      <c r="J64" s="122" t="s">
        <v>35</v>
      </c>
      <c r="K64" s="200"/>
      <c r="L64" s="219" t="s">
        <v>1001</v>
      </c>
    </row>
    <row r="65" spans="1:12" ht="45" x14ac:dyDescent="0.25">
      <c r="A65" s="232"/>
      <c r="B65" s="198" t="s">
        <v>716</v>
      </c>
      <c r="C65" s="33" t="s">
        <v>37</v>
      </c>
      <c r="D65" s="69" t="s">
        <v>717</v>
      </c>
      <c r="E65" s="33" t="s">
        <v>2</v>
      </c>
      <c r="F65" s="232"/>
      <c r="G65" s="46" t="s">
        <v>36</v>
      </c>
      <c r="H65" s="47"/>
      <c r="I65" s="46" t="s">
        <v>13</v>
      </c>
      <c r="J65" s="74"/>
      <c r="K65" s="74"/>
      <c r="L65" s="74"/>
    </row>
    <row r="66" spans="1:12" ht="78" x14ac:dyDescent="0.25">
      <c r="A66" s="232" t="s">
        <v>82</v>
      </c>
      <c r="B66" s="181" t="s">
        <v>718</v>
      </c>
      <c r="C66" s="74"/>
      <c r="D66" s="75"/>
      <c r="E66" s="74"/>
      <c r="F66" s="232" t="s">
        <v>2</v>
      </c>
      <c r="G66" s="74"/>
      <c r="H66" s="74"/>
      <c r="I66" s="74"/>
      <c r="J66" s="74"/>
      <c r="K66" s="172"/>
      <c r="L66" s="172"/>
    </row>
    <row r="67" spans="1:12" ht="30" x14ac:dyDescent="0.25">
      <c r="A67" s="232"/>
      <c r="B67" s="198" t="s">
        <v>719</v>
      </c>
      <c r="C67" s="33" t="s">
        <v>35</v>
      </c>
      <c r="D67" s="69"/>
      <c r="E67" s="33" t="s">
        <v>2</v>
      </c>
      <c r="F67" s="232"/>
      <c r="G67" s="46" t="s">
        <v>2</v>
      </c>
      <c r="H67" s="47"/>
      <c r="I67" s="46" t="s">
        <v>13</v>
      </c>
      <c r="J67" s="122" t="s">
        <v>35</v>
      </c>
      <c r="K67" s="200"/>
      <c r="L67" s="219" t="s">
        <v>1004</v>
      </c>
    </row>
    <row r="68" spans="1:12" ht="30" x14ac:dyDescent="0.25">
      <c r="A68" s="232"/>
      <c r="B68" s="198" t="s">
        <v>720</v>
      </c>
      <c r="C68" s="33" t="s">
        <v>35</v>
      </c>
      <c r="D68" s="69"/>
      <c r="E68" s="33" t="s">
        <v>2</v>
      </c>
      <c r="F68" s="232"/>
      <c r="G68" s="46" t="s">
        <v>36</v>
      </c>
      <c r="H68" s="47" t="s">
        <v>280</v>
      </c>
      <c r="I68" s="46" t="s">
        <v>13</v>
      </c>
      <c r="J68" s="74"/>
      <c r="K68" s="74"/>
      <c r="L68" s="74" t="s">
        <v>1004</v>
      </c>
    </row>
    <row r="69" spans="1:12" ht="30" x14ac:dyDescent="0.25">
      <c r="A69" s="232"/>
      <c r="B69" s="198" t="s">
        <v>721</v>
      </c>
      <c r="C69" s="33" t="s">
        <v>35</v>
      </c>
      <c r="D69" s="69"/>
      <c r="E69" s="33" t="s">
        <v>2</v>
      </c>
      <c r="F69" s="232"/>
      <c r="G69" s="46" t="s">
        <v>36</v>
      </c>
      <c r="H69" s="47" t="s">
        <v>280</v>
      </c>
      <c r="I69" s="46" t="s">
        <v>13</v>
      </c>
      <c r="J69" s="74"/>
      <c r="K69" s="74"/>
      <c r="L69" s="74" t="s">
        <v>1004</v>
      </c>
    </row>
    <row r="70" spans="1:12" ht="45" x14ac:dyDescent="0.25">
      <c r="A70" s="232"/>
      <c r="B70" s="198" t="s">
        <v>722</v>
      </c>
      <c r="C70" s="33" t="s">
        <v>35</v>
      </c>
      <c r="D70" s="69"/>
      <c r="E70" s="33" t="s">
        <v>2</v>
      </c>
      <c r="F70" s="232"/>
      <c r="G70" s="46" t="s">
        <v>36</v>
      </c>
      <c r="H70" s="47" t="s">
        <v>280</v>
      </c>
      <c r="I70" s="46" t="s">
        <v>13</v>
      </c>
      <c r="J70" s="74"/>
      <c r="K70" s="74"/>
      <c r="L70" s="74" t="s">
        <v>1004</v>
      </c>
    </row>
    <row r="71" spans="1:12" ht="45" x14ac:dyDescent="0.25">
      <c r="A71" s="232"/>
      <c r="B71" s="198" t="s">
        <v>723</v>
      </c>
      <c r="C71" s="33" t="s">
        <v>35</v>
      </c>
      <c r="D71" s="69"/>
      <c r="E71" s="33" t="s">
        <v>2</v>
      </c>
      <c r="F71" s="232"/>
      <c r="G71" s="46" t="s">
        <v>36</v>
      </c>
      <c r="H71" s="47" t="s">
        <v>693</v>
      </c>
      <c r="I71" s="46" t="s">
        <v>13</v>
      </c>
      <c r="J71" s="74"/>
      <c r="K71" s="74"/>
      <c r="L71" s="74" t="s">
        <v>1001</v>
      </c>
    </row>
    <row r="72" spans="1:12" ht="45" x14ac:dyDescent="0.25">
      <c r="A72" s="232"/>
      <c r="B72" s="198" t="s">
        <v>724</v>
      </c>
      <c r="C72" s="33" t="s">
        <v>35</v>
      </c>
      <c r="D72" s="69"/>
      <c r="E72" s="33" t="s">
        <v>2</v>
      </c>
      <c r="F72" s="232"/>
      <c r="G72" s="46" t="s">
        <v>36</v>
      </c>
      <c r="H72" s="47" t="s">
        <v>693</v>
      </c>
      <c r="I72" s="46" t="s">
        <v>13</v>
      </c>
      <c r="J72" s="74"/>
      <c r="K72" s="74"/>
      <c r="L72" s="74" t="s">
        <v>1001</v>
      </c>
    </row>
    <row r="73" spans="1:12" ht="45" x14ac:dyDescent="0.25">
      <c r="A73" s="232"/>
      <c r="B73" s="198" t="s">
        <v>725</v>
      </c>
      <c r="C73" s="33" t="s">
        <v>35</v>
      </c>
      <c r="D73" s="69"/>
      <c r="E73" s="33" t="s">
        <v>2</v>
      </c>
      <c r="F73" s="232"/>
      <c r="G73" s="46" t="s">
        <v>36</v>
      </c>
      <c r="H73" s="47" t="s">
        <v>693</v>
      </c>
      <c r="I73" s="46" t="s">
        <v>13</v>
      </c>
      <c r="J73" s="74"/>
      <c r="K73" s="74"/>
      <c r="L73" s="74" t="s">
        <v>1001</v>
      </c>
    </row>
    <row r="74" spans="1:12" ht="45" x14ac:dyDescent="0.25">
      <c r="A74" s="232"/>
      <c r="B74" s="198" t="s">
        <v>726</v>
      </c>
      <c r="C74" s="33" t="s">
        <v>35</v>
      </c>
      <c r="D74" s="69"/>
      <c r="E74" s="33" t="s">
        <v>2</v>
      </c>
      <c r="F74" s="232"/>
      <c r="G74" s="46" t="s">
        <v>36</v>
      </c>
      <c r="H74" s="47" t="s">
        <v>693</v>
      </c>
      <c r="I74" s="46" t="s">
        <v>13</v>
      </c>
      <c r="J74" s="74"/>
      <c r="K74" s="74"/>
      <c r="L74" s="74" t="s">
        <v>1001</v>
      </c>
    </row>
    <row r="75" spans="1:12" ht="15.6" x14ac:dyDescent="0.25">
      <c r="A75" s="28"/>
      <c r="B75" s="184" t="s">
        <v>727</v>
      </c>
      <c r="C75" s="30" t="s">
        <v>40</v>
      </c>
      <c r="D75" s="42" t="s">
        <v>41</v>
      </c>
      <c r="E75" s="74"/>
      <c r="F75" s="74"/>
      <c r="G75" s="74"/>
      <c r="H75" s="74"/>
      <c r="I75" s="74"/>
      <c r="J75" s="74"/>
      <c r="K75" s="172"/>
      <c r="L75" s="172"/>
    </row>
    <row r="76" spans="1:12" ht="120" x14ac:dyDescent="0.25">
      <c r="A76" s="33" t="s">
        <v>48</v>
      </c>
      <c r="B76" s="197" t="s">
        <v>728</v>
      </c>
      <c r="C76" s="60" t="s">
        <v>35</v>
      </c>
      <c r="D76" s="58"/>
      <c r="E76" s="33" t="s">
        <v>2</v>
      </c>
      <c r="F76" s="33"/>
      <c r="G76" s="46" t="s">
        <v>2</v>
      </c>
      <c r="H76" s="47" t="s">
        <v>729</v>
      </c>
      <c r="I76" s="46" t="s">
        <v>13</v>
      </c>
      <c r="J76" s="122" t="s">
        <v>35</v>
      </c>
      <c r="K76" s="200"/>
      <c r="L76" s="219" t="s">
        <v>1001</v>
      </c>
    </row>
    <row r="77" spans="1:12" ht="120" x14ac:dyDescent="0.25">
      <c r="A77" s="33" t="s">
        <v>131</v>
      </c>
      <c r="B77" s="197" t="s">
        <v>730</v>
      </c>
      <c r="C77" s="60" t="s">
        <v>37</v>
      </c>
      <c r="D77" s="58" t="s">
        <v>253</v>
      </c>
      <c r="E77" s="33" t="s">
        <v>2</v>
      </c>
      <c r="F77" s="33"/>
      <c r="G77" s="46" t="s">
        <v>2</v>
      </c>
      <c r="H77" s="201" t="s">
        <v>731</v>
      </c>
      <c r="I77" s="46" t="s">
        <v>13</v>
      </c>
      <c r="J77" s="122" t="s">
        <v>37</v>
      </c>
      <c r="K77" s="200" t="s">
        <v>732</v>
      </c>
      <c r="L77" s="219" t="s">
        <v>1001</v>
      </c>
    </row>
    <row r="78" spans="1:12" ht="150" x14ac:dyDescent="0.25">
      <c r="A78" s="33" t="s">
        <v>55</v>
      </c>
      <c r="B78" s="197" t="s">
        <v>733</v>
      </c>
      <c r="C78" s="60" t="s">
        <v>37</v>
      </c>
      <c r="D78" s="58" t="s">
        <v>253</v>
      </c>
      <c r="E78" s="33" t="s">
        <v>2</v>
      </c>
      <c r="F78" s="33"/>
      <c r="G78" s="46" t="s">
        <v>2</v>
      </c>
      <c r="H78" s="47" t="s">
        <v>734</v>
      </c>
      <c r="I78" s="46" t="s">
        <v>13</v>
      </c>
      <c r="J78" s="122" t="s">
        <v>35</v>
      </c>
      <c r="K78" s="200"/>
      <c r="L78" s="219" t="s">
        <v>1001</v>
      </c>
    </row>
    <row r="79" spans="1:12" ht="240" x14ac:dyDescent="0.25">
      <c r="A79" s="33" t="s">
        <v>63</v>
      </c>
      <c r="B79" s="197" t="s">
        <v>735</v>
      </c>
      <c r="C79" s="60" t="s">
        <v>37</v>
      </c>
      <c r="D79" s="58" t="s">
        <v>253</v>
      </c>
      <c r="E79" s="33" t="s">
        <v>2</v>
      </c>
      <c r="F79" s="33"/>
      <c r="G79" s="46" t="s">
        <v>2</v>
      </c>
      <c r="H79" s="47" t="s">
        <v>734</v>
      </c>
      <c r="I79" s="46" t="s">
        <v>13</v>
      </c>
      <c r="J79" s="122" t="s">
        <v>35</v>
      </c>
      <c r="K79" s="200"/>
      <c r="L79" s="219" t="s">
        <v>1001</v>
      </c>
    </row>
    <row r="80" spans="1:12" ht="120" x14ac:dyDescent="0.25">
      <c r="A80" s="33" t="s">
        <v>146</v>
      </c>
      <c r="B80" s="197" t="s">
        <v>736</v>
      </c>
      <c r="C80" s="60" t="s">
        <v>35</v>
      </c>
      <c r="D80" s="58"/>
      <c r="E80" s="33" t="s">
        <v>2</v>
      </c>
      <c r="F80" s="33"/>
      <c r="G80" s="46" t="s">
        <v>2</v>
      </c>
      <c r="H80" s="47" t="s">
        <v>734</v>
      </c>
      <c r="I80" s="46" t="s">
        <v>13</v>
      </c>
      <c r="J80" s="122" t="s">
        <v>35</v>
      </c>
      <c r="K80" s="200"/>
      <c r="L80" s="219" t="s">
        <v>1001</v>
      </c>
    </row>
    <row r="81" spans="1:12" ht="75" x14ac:dyDescent="0.25">
      <c r="A81" s="33" t="s">
        <v>149</v>
      </c>
      <c r="B81" s="197" t="s">
        <v>737</v>
      </c>
      <c r="C81" s="60" t="s">
        <v>35</v>
      </c>
      <c r="D81" s="58"/>
      <c r="E81" s="33" t="s">
        <v>2</v>
      </c>
      <c r="F81" s="33"/>
      <c r="G81" s="46" t="s">
        <v>2</v>
      </c>
      <c r="H81" s="47" t="s">
        <v>734</v>
      </c>
      <c r="I81" s="46" t="s">
        <v>13</v>
      </c>
      <c r="J81" s="122" t="s">
        <v>35</v>
      </c>
      <c r="K81" s="200"/>
      <c r="L81" s="219" t="s">
        <v>1001</v>
      </c>
    </row>
    <row r="82" spans="1:12" ht="90" x14ac:dyDescent="0.25">
      <c r="A82" s="33" t="s">
        <v>151</v>
      </c>
      <c r="B82" s="197" t="s">
        <v>738</v>
      </c>
      <c r="C82" s="60" t="s">
        <v>37</v>
      </c>
      <c r="D82" s="58" t="s">
        <v>739</v>
      </c>
      <c r="E82" s="33" t="s">
        <v>2</v>
      </c>
      <c r="F82" s="33"/>
      <c r="G82" s="46" t="s">
        <v>36</v>
      </c>
      <c r="H82" s="47"/>
      <c r="I82" s="46" t="s">
        <v>13</v>
      </c>
      <c r="J82" s="74"/>
      <c r="K82" s="74"/>
      <c r="L82" s="74" t="s">
        <v>1001</v>
      </c>
    </row>
    <row r="83" spans="1:12" ht="75" x14ac:dyDescent="0.25">
      <c r="A83" s="33" t="s">
        <v>153</v>
      </c>
      <c r="B83" s="197" t="s">
        <v>740</v>
      </c>
      <c r="C83" s="60" t="s">
        <v>35</v>
      </c>
      <c r="D83" s="58"/>
      <c r="E83" s="33" t="s">
        <v>1</v>
      </c>
      <c r="F83" s="33"/>
      <c r="G83" s="46" t="s">
        <v>36</v>
      </c>
      <c r="H83" s="47" t="s">
        <v>741</v>
      </c>
      <c r="I83" s="46" t="s">
        <v>13</v>
      </c>
      <c r="J83" s="74"/>
      <c r="K83" s="74"/>
      <c r="L83" s="74" t="s">
        <v>1001</v>
      </c>
    </row>
    <row r="84" spans="1:12" ht="165" x14ac:dyDescent="0.25">
      <c r="A84" s="33" t="s">
        <v>155</v>
      </c>
      <c r="B84" s="197" t="s">
        <v>742</v>
      </c>
      <c r="C84" s="60" t="s">
        <v>35</v>
      </c>
      <c r="D84" s="58"/>
      <c r="E84" s="33" t="s">
        <v>2</v>
      </c>
      <c r="F84" s="33"/>
      <c r="G84" s="46" t="s">
        <v>2</v>
      </c>
      <c r="H84" s="47"/>
      <c r="I84" s="46" t="s">
        <v>13</v>
      </c>
      <c r="J84" s="122" t="s">
        <v>35</v>
      </c>
      <c r="K84" s="200"/>
      <c r="L84" s="219" t="s">
        <v>1001</v>
      </c>
    </row>
    <row r="85" spans="1:12" ht="409.6" x14ac:dyDescent="0.25">
      <c r="A85" s="33" t="s">
        <v>157</v>
      </c>
      <c r="B85" s="197" t="s">
        <v>743</v>
      </c>
      <c r="C85" s="60" t="s">
        <v>37</v>
      </c>
      <c r="D85" s="58" t="s">
        <v>253</v>
      </c>
      <c r="E85" s="33" t="s">
        <v>2</v>
      </c>
      <c r="F85" s="33"/>
      <c r="G85" s="46" t="s">
        <v>2</v>
      </c>
      <c r="H85" s="47"/>
      <c r="I85" s="46" t="s">
        <v>13</v>
      </c>
      <c r="J85" s="122" t="s">
        <v>37</v>
      </c>
      <c r="K85" s="200" t="s">
        <v>744</v>
      </c>
      <c r="L85" s="219" t="s">
        <v>1001</v>
      </c>
    </row>
    <row r="86" spans="1:12" ht="90" x14ac:dyDescent="0.25">
      <c r="A86" s="33" t="s">
        <v>159</v>
      </c>
      <c r="B86" s="197" t="s">
        <v>745</v>
      </c>
      <c r="C86" s="60" t="s">
        <v>35</v>
      </c>
      <c r="D86" s="58" t="s">
        <v>746</v>
      </c>
      <c r="E86" s="33" t="s">
        <v>2</v>
      </c>
      <c r="F86" s="33"/>
      <c r="G86" s="46" t="s">
        <v>36</v>
      </c>
      <c r="H86" s="47"/>
      <c r="I86" s="46" t="s">
        <v>13</v>
      </c>
      <c r="J86" s="74"/>
      <c r="K86" s="74"/>
      <c r="L86" s="74" t="s">
        <v>1001</v>
      </c>
    </row>
    <row r="87" spans="1:12" ht="90" x14ac:dyDescent="0.25">
      <c r="A87" s="33" t="s">
        <v>161</v>
      </c>
      <c r="B87" s="197" t="s">
        <v>747</v>
      </c>
      <c r="C87" s="60" t="s">
        <v>37</v>
      </c>
      <c r="D87" s="58" t="s">
        <v>748</v>
      </c>
      <c r="E87" s="33" t="s">
        <v>2</v>
      </c>
      <c r="F87" s="33"/>
      <c r="G87" s="46" t="s">
        <v>36</v>
      </c>
      <c r="H87" s="47"/>
      <c r="I87" s="46" t="s">
        <v>13</v>
      </c>
      <c r="J87" s="74"/>
      <c r="K87" s="74"/>
      <c r="L87" s="74" t="s">
        <v>1001</v>
      </c>
    </row>
    <row r="88" spans="1:12" ht="75" x14ac:dyDescent="0.25">
      <c r="A88" s="33" t="s">
        <v>164</v>
      </c>
      <c r="B88" s="197" t="s">
        <v>749</v>
      </c>
      <c r="C88" s="60" t="s">
        <v>35</v>
      </c>
      <c r="D88" s="58" t="s">
        <v>750</v>
      </c>
      <c r="E88" s="33" t="s">
        <v>1</v>
      </c>
      <c r="F88" s="33"/>
      <c r="G88" s="46" t="s">
        <v>1</v>
      </c>
      <c r="H88" s="47"/>
      <c r="I88" s="46" t="s">
        <v>13</v>
      </c>
      <c r="J88" s="122" t="s">
        <v>35</v>
      </c>
      <c r="K88" s="200" t="s">
        <v>62</v>
      </c>
      <c r="L88" s="219" t="s">
        <v>1001</v>
      </c>
    </row>
    <row r="89" spans="1:12" ht="75" x14ac:dyDescent="0.25">
      <c r="A89" s="33" t="s">
        <v>167</v>
      </c>
      <c r="B89" s="197" t="s">
        <v>751</v>
      </c>
      <c r="C89" s="60" t="s">
        <v>35</v>
      </c>
      <c r="D89" s="58"/>
      <c r="E89" s="33" t="s">
        <v>1</v>
      </c>
      <c r="F89" s="33"/>
      <c r="G89" s="46" t="s">
        <v>36</v>
      </c>
      <c r="H89" s="47" t="s">
        <v>741</v>
      </c>
      <c r="I89" s="46" t="s">
        <v>13</v>
      </c>
      <c r="J89" s="74"/>
      <c r="K89" s="74"/>
      <c r="L89" s="74" t="s">
        <v>1001</v>
      </c>
    </row>
    <row r="90" spans="1:12" ht="45" x14ac:dyDescent="0.25">
      <c r="A90" s="33" t="s">
        <v>169</v>
      </c>
      <c r="B90" s="197" t="s">
        <v>752</v>
      </c>
      <c r="C90" s="33" t="s">
        <v>35</v>
      </c>
      <c r="D90" s="58" t="s">
        <v>753</v>
      </c>
      <c r="E90" s="33" t="s">
        <v>1</v>
      </c>
      <c r="F90" s="33"/>
      <c r="G90" s="46" t="s">
        <v>36</v>
      </c>
      <c r="H90" s="47" t="s">
        <v>754</v>
      </c>
      <c r="I90" s="46" t="s">
        <v>13</v>
      </c>
      <c r="J90" s="74"/>
      <c r="K90" s="74"/>
      <c r="L90" s="74" t="s">
        <v>1001</v>
      </c>
    </row>
    <row r="91" spans="1:12" ht="120" x14ac:dyDescent="0.25">
      <c r="A91" s="33" t="s">
        <v>172</v>
      </c>
      <c r="B91" s="197" t="s">
        <v>755</v>
      </c>
      <c r="C91" s="33" t="s">
        <v>35</v>
      </c>
      <c r="D91" s="58" t="s">
        <v>253</v>
      </c>
      <c r="E91" s="33" t="s">
        <v>1</v>
      </c>
      <c r="F91" s="33"/>
      <c r="G91" s="46" t="s">
        <v>1</v>
      </c>
      <c r="H91" s="47"/>
      <c r="I91" s="46" t="s">
        <v>13</v>
      </c>
      <c r="J91" s="122" t="s">
        <v>35</v>
      </c>
      <c r="K91" s="200"/>
      <c r="L91" s="219" t="s">
        <v>1001</v>
      </c>
    </row>
    <row r="92" spans="1:12" ht="120" x14ac:dyDescent="0.25">
      <c r="A92" s="33" t="s">
        <v>174</v>
      </c>
      <c r="B92" s="197" t="s">
        <v>756</v>
      </c>
      <c r="C92" s="60" t="s">
        <v>35</v>
      </c>
      <c r="D92" s="58"/>
      <c r="E92" s="33" t="s">
        <v>2</v>
      </c>
      <c r="F92" s="33"/>
      <c r="G92" s="46" t="s">
        <v>2</v>
      </c>
      <c r="H92" s="47"/>
      <c r="I92" s="46" t="s">
        <v>13</v>
      </c>
      <c r="J92" s="122" t="s">
        <v>35</v>
      </c>
      <c r="K92" s="200"/>
      <c r="L92" s="219" t="s">
        <v>1001</v>
      </c>
    </row>
    <row r="93" spans="1:12" ht="105" x14ac:dyDescent="0.25">
      <c r="A93" s="33" t="s">
        <v>177</v>
      </c>
      <c r="B93" s="197" t="s">
        <v>757</v>
      </c>
      <c r="C93" s="60" t="s">
        <v>35</v>
      </c>
      <c r="D93" s="58"/>
      <c r="E93" s="33" t="s">
        <v>2</v>
      </c>
      <c r="F93" s="33"/>
      <c r="G93" s="46" t="s">
        <v>2</v>
      </c>
      <c r="H93" s="47"/>
      <c r="I93" s="46" t="s">
        <v>13</v>
      </c>
      <c r="J93" s="122" t="s">
        <v>35</v>
      </c>
      <c r="K93" s="200"/>
      <c r="L93" s="219" t="s">
        <v>1001</v>
      </c>
    </row>
    <row r="94" spans="1:12" ht="75" x14ac:dyDescent="0.25">
      <c r="A94" s="33" t="s">
        <v>310</v>
      </c>
      <c r="B94" s="197" t="s">
        <v>758</v>
      </c>
      <c r="C94" s="60" t="s">
        <v>35</v>
      </c>
      <c r="D94" s="58"/>
      <c r="E94" s="33" t="s">
        <v>1</v>
      </c>
      <c r="F94" s="33"/>
      <c r="G94" s="46" t="s">
        <v>1</v>
      </c>
      <c r="H94" s="47"/>
      <c r="I94" s="46" t="s">
        <v>13</v>
      </c>
      <c r="J94" s="122" t="s">
        <v>35</v>
      </c>
      <c r="K94" s="200"/>
      <c r="L94" s="219" t="s">
        <v>1001</v>
      </c>
    </row>
    <row r="95" spans="1:12" ht="409.6" x14ac:dyDescent="0.25">
      <c r="A95" s="33" t="s">
        <v>313</v>
      </c>
      <c r="B95" s="197" t="s">
        <v>759</v>
      </c>
      <c r="C95" s="60" t="s">
        <v>37</v>
      </c>
      <c r="D95" s="58" t="s">
        <v>253</v>
      </c>
      <c r="E95" s="33" t="s">
        <v>2</v>
      </c>
      <c r="F95" s="33"/>
      <c r="G95" s="46" t="s">
        <v>2</v>
      </c>
      <c r="H95" s="47" t="s">
        <v>212</v>
      </c>
      <c r="I95" s="46" t="s">
        <v>13</v>
      </c>
      <c r="J95" s="122" t="s">
        <v>35</v>
      </c>
      <c r="K95" s="200"/>
      <c r="L95" s="219" t="s">
        <v>1001</v>
      </c>
    </row>
    <row r="96" spans="1:12" ht="150" x14ac:dyDescent="0.25">
      <c r="A96" s="33" t="s">
        <v>316</v>
      </c>
      <c r="B96" s="197" t="s">
        <v>760</v>
      </c>
      <c r="C96" s="60" t="s">
        <v>35</v>
      </c>
      <c r="D96" s="58"/>
      <c r="E96" s="33" t="s">
        <v>1</v>
      </c>
      <c r="F96" s="33"/>
      <c r="G96" s="46" t="s">
        <v>36</v>
      </c>
      <c r="H96" s="47" t="s">
        <v>741</v>
      </c>
      <c r="I96" s="46" t="s">
        <v>13</v>
      </c>
      <c r="J96" s="74"/>
      <c r="K96" s="74"/>
      <c r="L96" s="74" t="s">
        <v>1001</v>
      </c>
    </row>
    <row r="97" spans="1:12" ht="90" x14ac:dyDescent="0.25">
      <c r="A97" s="33" t="s">
        <v>380</v>
      </c>
      <c r="B97" s="197" t="s">
        <v>761</v>
      </c>
      <c r="C97" s="60" t="s">
        <v>35</v>
      </c>
      <c r="D97" s="58"/>
      <c r="E97" s="33" t="s">
        <v>1</v>
      </c>
      <c r="F97" s="33"/>
      <c r="G97" s="46" t="s">
        <v>36</v>
      </c>
      <c r="H97" s="47" t="s">
        <v>741</v>
      </c>
      <c r="I97" s="46" t="s">
        <v>13</v>
      </c>
      <c r="J97" s="74"/>
      <c r="K97" s="74"/>
      <c r="L97" s="74" t="s">
        <v>1001</v>
      </c>
    </row>
    <row r="98" spans="1:12" ht="120" x14ac:dyDescent="0.25">
      <c r="A98" s="33" t="s">
        <v>383</v>
      </c>
      <c r="B98" s="197" t="s">
        <v>762</v>
      </c>
      <c r="C98" s="60" t="s">
        <v>35</v>
      </c>
      <c r="D98" s="58"/>
      <c r="E98" s="33" t="s">
        <v>1</v>
      </c>
      <c r="F98" s="33"/>
      <c r="G98" s="46" t="s">
        <v>1</v>
      </c>
      <c r="H98" s="47"/>
      <c r="I98" s="46" t="s">
        <v>13</v>
      </c>
      <c r="J98" s="122" t="s">
        <v>35</v>
      </c>
      <c r="K98" s="200"/>
      <c r="L98" s="219" t="s">
        <v>1001</v>
      </c>
    </row>
    <row r="99" spans="1:12" ht="240" x14ac:dyDescent="0.25">
      <c r="A99" s="33" t="s">
        <v>385</v>
      </c>
      <c r="B99" s="197" t="s">
        <v>763</v>
      </c>
      <c r="C99" s="60" t="s">
        <v>36</v>
      </c>
      <c r="D99" s="58"/>
      <c r="E99" s="33" t="s">
        <v>2</v>
      </c>
      <c r="F99" s="33"/>
      <c r="G99" s="46" t="s">
        <v>36</v>
      </c>
      <c r="H99" s="47" t="s">
        <v>764</v>
      </c>
      <c r="I99" s="46" t="s">
        <v>13</v>
      </c>
      <c r="J99" s="74"/>
      <c r="K99" s="74"/>
      <c r="L99" s="74" t="s">
        <v>1001</v>
      </c>
    </row>
    <row r="100" spans="1:12" ht="120" x14ac:dyDescent="0.25">
      <c r="A100" s="33" t="s">
        <v>389</v>
      </c>
      <c r="B100" s="197" t="s">
        <v>765</v>
      </c>
      <c r="C100" s="60" t="s">
        <v>35</v>
      </c>
      <c r="D100" s="58" t="s">
        <v>766</v>
      </c>
      <c r="E100" s="33" t="s">
        <v>2</v>
      </c>
      <c r="F100" s="33"/>
      <c r="G100" s="46" t="s">
        <v>36</v>
      </c>
      <c r="H100" s="47"/>
      <c r="I100" s="46" t="s">
        <v>13</v>
      </c>
      <c r="J100" s="74"/>
      <c r="K100" s="74"/>
      <c r="L100" s="74" t="s">
        <v>1001</v>
      </c>
    </row>
    <row r="101" spans="1:12" ht="90" x14ac:dyDescent="0.25">
      <c r="A101" s="58"/>
      <c r="B101" s="197" t="s">
        <v>767</v>
      </c>
      <c r="C101" s="60" t="s">
        <v>35</v>
      </c>
      <c r="D101" s="58" t="s">
        <v>768</v>
      </c>
      <c r="E101" s="33" t="s">
        <v>2</v>
      </c>
      <c r="F101" s="33"/>
      <c r="G101" s="46" t="s">
        <v>36</v>
      </c>
      <c r="H101" s="47" t="s">
        <v>212</v>
      </c>
      <c r="I101" s="46" t="s">
        <v>13</v>
      </c>
      <c r="J101" s="74"/>
      <c r="K101" s="74"/>
      <c r="L101" s="74" t="s">
        <v>1001</v>
      </c>
    </row>
    <row r="102" spans="1:12" ht="90" x14ac:dyDescent="0.25">
      <c r="A102" s="58"/>
      <c r="B102" s="197" t="s">
        <v>769</v>
      </c>
      <c r="C102" s="60" t="s">
        <v>37</v>
      </c>
      <c r="D102" s="58" t="s">
        <v>770</v>
      </c>
      <c r="E102" s="33" t="s">
        <v>2</v>
      </c>
      <c r="F102" s="33"/>
      <c r="G102" s="46" t="s">
        <v>2</v>
      </c>
      <c r="H102" s="47"/>
      <c r="I102" s="46" t="s">
        <v>13</v>
      </c>
      <c r="J102" s="122" t="s">
        <v>35</v>
      </c>
      <c r="K102" s="200"/>
      <c r="L102" s="219" t="s">
        <v>1001</v>
      </c>
    </row>
    <row r="103" spans="1:12" ht="30" x14ac:dyDescent="0.25">
      <c r="A103" s="58"/>
      <c r="B103" s="197" t="s">
        <v>771</v>
      </c>
      <c r="C103" s="60" t="s">
        <v>36</v>
      </c>
      <c r="D103" s="58"/>
      <c r="E103" s="33" t="s">
        <v>2</v>
      </c>
      <c r="F103" s="33"/>
      <c r="G103" s="46" t="s">
        <v>2</v>
      </c>
      <c r="H103" s="47"/>
      <c r="I103" s="46" t="s">
        <v>13</v>
      </c>
      <c r="J103" s="122" t="s">
        <v>35</v>
      </c>
      <c r="K103" s="200"/>
      <c r="L103" s="219" t="s">
        <v>1001</v>
      </c>
    </row>
    <row r="104" spans="1:12" ht="15.6" x14ac:dyDescent="0.25">
      <c r="A104" s="28"/>
      <c r="B104" s="184" t="s">
        <v>772</v>
      </c>
      <c r="C104" s="30" t="s">
        <v>40</v>
      </c>
      <c r="D104" s="42" t="s">
        <v>41</v>
      </c>
      <c r="E104" s="74"/>
      <c r="F104" s="74"/>
      <c r="G104" s="74"/>
      <c r="H104" s="74"/>
      <c r="I104" s="74"/>
      <c r="J104" s="74"/>
      <c r="K104" s="172"/>
      <c r="L104" s="172"/>
    </row>
    <row r="105" spans="1:12" ht="124.2" x14ac:dyDescent="0.25">
      <c r="A105" s="33" t="s">
        <v>48</v>
      </c>
      <c r="B105" s="197" t="s">
        <v>773</v>
      </c>
      <c r="C105" s="60" t="s">
        <v>35</v>
      </c>
      <c r="D105" s="58"/>
      <c r="E105" s="33" t="s">
        <v>2</v>
      </c>
      <c r="F105" s="33"/>
      <c r="G105" s="46" t="s">
        <v>2</v>
      </c>
      <c r="H105" s="47"/>
      <c r="I105" s="46" t="s">
        <v>13</v>
      </c>
      <c r="J105" s="122" t="s">
        <v>35</v>
      </c>
      <c r="K105" s="200" t="s">
        <v>774</v>
      </c>
      <c r="L105" s="219" t="s">
        <v>1001</v>
      </c>
    </row>
    <row r="106" spans="1:12" ht="124.2" x14ac:dyDescent="0.25">
      <c r="A106" s="33" t="s">
        <v>131</v>
      </c>
      <c r="B106" s="197" t="s">
        <v>775</v>
      </c>
      <c r="C106" s="60" t="s">
        <v>35</v>
      </c>
      <c r="D106" s="58"/>
      <c r="E106" s="33" t="s">
        <v>2</v>
      </c>
      <c r="F106" s="33"/>
      <c r="G106" s="46" t="s">
        <v>2</v>
      </c>
      <c r="H106" s="47"/>
      <c r="I106" s="46" t="s">
        <v>13</v>
      </c>
      <c r="J106" s="122" t="s">
        <v>35</v>
      </c>
      <c r="K106" s="200" t="s">
        <v>774</v>
      </c>
      <c r="L106" s="219" t="s">
        <v>1001</v>
      </c>
    </row>
    <row r="107" spans="1:12" ht="124.2" x14ac:dyDescent="0.25">
      <c r="A107" s="33" t="s">
        <v>55</v>
      </c>
      <c r="B107" s="197" t="s">
        <v>776</v>
      </c>
      <c r="C107" s="60" t="s">
        <v>35</v>
      </c>
      <c r="D107" s="58"/>
      <c r="E107" s="33" t="s">
        <v>2</v>
      </c>
      <c r="F107" s="33"/>
      <c r="G107" s="46" t="s">
        <v>2</v>
      </c>
      <c r="H107" s="47"/>
      <c r="I107" s="46" t="s">
        <v>13</v>
      </c>
      <c r="J107" s="122" t="s">
        <v>35</v>
      </c>
      <c r="K107" s="200" t="s">
        <v>774</v>
      </c>
      <c r="L107" s="219" t="s">
        <v>1001</v>
      </c>
    </row>
    <row r="108" spans="1:12" ht="124.2" x14ac:dyDescent="0.25">
      <c r="A108" s="33" t="s">
        <v>63</v>
      </c>
      <c r="B108" s="197" t="s">
        <v>777</v>
      </c>
      <c r="C108" s="60" t="s">
        <v>35</v>
      </c>
      <c r="D108" s="58"/>
      <c r="E108" s="33" t="s">
        <v>2</v>
      </c>
      <c r="F108" s="33"/>
      <c r="G108" s="46" t="s">
        <v>2</v>
      </c>
      <c r="H108" s="47"/>
      <c r="I108" s="46" t="s">
        <v>13</v>
      </c>
      <c r="J108" s="122" t="s">
        <v>35</v>
      </c>
      <c r="K108" s="200" t="s">
        <v>774</v>
      </c>
      <c r="L108" s="219" t="s">
        <v>1001</v>
      </c>
    </row>
    <row r="109" spans="1:12" ht="124.2" x14ac:dyDescent="0.25">
      <c r="A109" s="33" t="s">
        <v>146</v>
      </c>
      <c r="B109" s="197" t="s">
        <v>778</v>
      </c>
      <c r="C109" s="60" t="s">
        <v>35</v>
      </c>
      <c r="D109" s="58"/>
      <c r="E109" s="33" t="s">
        <v>2</v>
      </c>
      <c r="F109" s="33"/>
      <c r="G109" s="46" t="s">
        <v>2</v>
      </c>
      <c r="H109" s="47"/>
      <c r="I109" s="46" t="s">
        <v>13</v>
      </c>
      <c r="J109" s="122" t="s">
        <v>35</v>
      </c>
      <c r="K109" s="200" t="s">
        <v>774</v>
      </c>
      <c r="L109" s="219" t="s">
        <v>1001</v>
      </c>
    </row>
    <row r="110" spans="1:12" ht="75" x14ac:dyDescent="0.25">
      <c r="A110" s="33"/>
      <c r="B110" s="197" t="s">
        <v>779</v>
      </c>
      <c r="C110" s="60" t="s">
        <v>37</v>
      </c>
      <c r="D110" s="58" t="s">
        <v>253</v>
      </c>
      <c r="E110" s="33" t="s">
        <v>2</v>
      </c>
      <c r="F110" s="33"/>
      <c r="G110" s="46" t="s">
        <v>36</v>
      </c>
      <c r="H110" s="47" t="s">
        <v>780</v>
      </c>
      <c r="I110" s="46" t="s">
        <v>13</v>
      </c>
      <c r="J110" s="74"/>
      <c r="K110" s="74"/>
      <c r="L110" s="74" t="s">
        <v>1001</v>
      </c>
    </row>
    <row r="111" spans="1:12" ht="15.6" x14ac:dyDescent="0.25">
      <c r="A111" s="28"/>
      <c r="B111" s="184" t="s">
        <v>781</v>
      </c>
      <c r="C111" s="30" t="s">
        <v>40</v>
      </c>
      <c r="D111" s="42" t="s">
        <v>41</v>
      </c>
      <c r="E111" s="74"/>
      <c r="F111" s="74"/>
      <c r="G111" s="74"/>
      <c r="H111" s="74"/>
      <c r="I111" s="74"/>
      <c r="J111" s="74"/>
      <c r="K111" s="172"/>
      <c r="L111" s="172"/>
    </row>
    <row r="112" spans="1:12" ht="45" x14ac:dyDescent="0.25">
      <c r="A112" s="58"/>
      <c r="B112" s="197" t="s">
        <v>635</v>
      </c>
      <c r="C112" s="60" t="s">
        <v>35</v>
      </c>
      <c r="D112" s="58"/>
      <c r="E112" s="33" t="s">
        <v>1</v>
      </c>
      <c r="F112" s="33"/>
      <c r="G112" s="46" t="s">
        <v>36</v>
      </c>
      <c r="H112" s="47" t="s">
        <v>782</v>
      </c>
      <c r="I112" s="46" t="s">
        <v>13</v>
      </c>
      <c r="J112" s="74"/>
      <c r="K112" s="74"/>
      <c r="L112" s="74" t="s">
        <v>1001</v>
      </c>
    </row>
    <row r="113" spans="1:13" ht="45" x14ac:dyDescent="0.25">
      <c r="A113" s="58"/>
      <c r="B113" s="197" t="s">
        <v>783</v>
      </c>
      <c r="C113" s="60" t="s">
        <v>35</v>
      </c>
      <c r="D113" s="58"/>
      <c r="E113" s="33" t="s">
        <v>2</v>
      </c>
      <c r="F113" s="33"/>
      <c r="G113" s="46" t="s">
        <v>2</v>
      </c>
      <c r="H113" s="47"/>
      <c r="I113" s="46" t="s">
        <v>13</v>
      </c>
      <c r="J113" s="122" t="s">
        <v>35</v>
      </c>
      <c r="K113" s="200"/>
      <c r="L113" s="219" t="s">
        <v>1001</v>
      </c>
    </row>
    <row r="114" spans="1:13" ht="120" x14ac:dyDescent="0.25">
      <c r="A114" s="58"/>
      <c r="B114" s="197" t="s">
        <v>784</v>
      </c>
      <c r="C114" s="60" t="s">
        <v>37</v>
      </c>
      <c r="D114" s="58" t="s">
        <v>253</v>
      </c>
      <c r="E114" s="33" t="s">
        <v>2</v>
      </c>
      <c r="F114" s="33"/>
      <c r="G114" s="46" t="s">
        <v>36</v>
      </c>
      <c r="H114" s="47"/>
      <c r="I114" s="46" t="s">
        <v>13</v>
      </c>
      <c r="J114" s="74"/>
      <c r="K114" s="74"/>
      <c r="L114" s="74" t="s">
        <v>1001</v>
      </c>
    </row>
    <row r="115" spans="1:13" ht="120" x14ac:dyDescent="0.25">
      <c r="A115" s="58"/>
      <c r="B115" s="197" t="s">
        <v>785</v>
      </c>
      <c r="C115" s="60" t="s">
        <v>37</v>
      </c>
      <c r="D115" s="58" t="s">
        <v>253</v>
      </c>
      <c r="E115" s="33" t="s">
        <v>2</v>
      </c>
      <c r="F115" s="33"/>
      <c r="G115" s="46" t="s">
        <v>36</v>
      </c>
      <c r="H115" s="47"/>
      <c r="I115" s="46" t="s">
        <v>13</v>
      </c>
      <c r="J115" s="74"/>
      <c r="K115" s="74"/>
      <c r="L115" s="74" t="s">
        <v>1001</v>
      </c>
    </row>
    <row r="116" spans="1:13" ht="45" x14ac:dyDescent="0.25">
      <c r="A116" s="58"/>
      <c r="B116" s="197" t="s">
        <v>786</v>
      </c>
      <c r="C116" s="60" t="s">
        <v>37</v>
      </c>
      <c r="D116" s="58" t="s">
        <v>253</v>
      </c>
      <c r="E116" s="33" t="s">
        <v>2</v>
      </c>
      <c r="F116" s="33"/>
      <c r="G116" s="46" t="s">
        <v>36</v>
      </c>
      <c r="H116" s="47" t="s">
        <v>787</v>
      </c>
      <c r="I116" s="46" t="s">
        <v>13</v>
      </c>
      <c r="J116" s="74"/>
      <c r="K116" s="74"/>
      <c r="L116" s="74" t="s">
        <v>1001</v>
      </c>
    </row>
    <row r="117" spans="1:13" ht="60" x14ac:dyDescent="0.25">
      <c r="A117" s="58"/>
      <c r="B117" s="197" t="s">
        <v>788</v>
      </c>
      <c r="C117" s="60" t="s">
        <v>35</v>
      </c>
      <c r="D117" s="58" t="s">
        <v>253</v>
      </c>
      <c r="E117" s="33" t="s">
        <v>2</v>
      </c>
      <c r="F117" s="33"/>
      <c r="G117" s="46" t="s">
        <v>36</v>
      </c>
      <c r="H117" s="47" t="s">
        <v>280</v>
      </c>
      <c r="I117" s="46" t="s">
        <v>13</v>
      </c>
      <c r="J117" s="74"/>
      <c r="K117" s="74"/>
      <c r="L117" s="74" t="s">
        <v>1004</v>
      </c>
      <c r="M117" s="14" t="s">
        <v>1003</v>
      </c>
    </row>
    <row r="118" spans="1:13" x14ac:dyDescent="0.25">
      <c r="F118" s="71" t="s">
        <v>388</v>
      </c>
    </row>
    <row r="120" spans="1:13" x14ac:dyDescent="0.25">
      <c r="E120" s="71"/>
    </row>
    <row r="121" spans="1:13" x14ac:dyDescent="0.25">
      <c r="F121" s="71"/>
    </row>
  </sheetData>
  <autoFilter ref="A1:L118" xr:uid="{78EC4862-2BC4-4297-8389-D06FD6203686}"/>
  <mergeCells count="14">
    <mergeCell ref="A66:A74"/>
    <mergeCell ref="F66:F74"/>
    <mergeCell ref="F2:F31"/>
    <mergeCell ref="F32:F36"/>
    <mergeCell ref="F38:F39"/>
    <mergeCell ref="F40:F65"/>
    <mergeCell ref="A49:A54"/>
    <mergeCell ref="A55:A61"/>
    <mergeCell ref="A62:A65"/>
    <mergeCell ref="A40:A48"/>
    <mergeCell ref="A38:A39"/>
    <mergeCell ref="A2:A19"/>
    <mergeCell ref="A23:A31"/>
    <mergeCell ref="A32:A36"/>
  </mergeCells>
  <conditionalFormatting sqref="G1 G3:G22 G24:G26 G28:G31 G33:G37 G39 G41:G48 G50:G54 G56:G61 G63:G65 G67:G74 G76:G103 G105:G110 G112:G117">
    <cfRule type="cellIs" dxfId="32" priority="1" operator="equal">
      <formula>"X"</formula>
    </cfRule>
    <cfRule type="cellIs" dxfId="31" priority="2" operator="equal">
      <formula>"N"</formula>
    </cfRule>
    <cfRule type="containsText" dxfId="30" priority="3" operator="containsText" text="SX">
      <formula>NOT(ISERROR(SEARCH("SX",G1)))</formula>
    </cfRule>
  </conditionalFormatting>
  <pageMargins left="0.7" right="0.7" top="0.75" bottom="0.75" header="0.3" footer="0.3"/>
  <pageSetup paperSize="9" scale="42"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582AF-CC99-4BCC-956A-5702CD3CE7AA}">
  <sheetPr>
    <tabColor theme="7"/>
    <pageSetUpPr fitToPage="1"/>
  </sheetPr>
  <dimension ref="A1:L116"/>
  <sheetViews>
    <sheetView zoomScale="85" zoomScaleNormal="85" workbookViewId="0">
      <pane ySplit="1" topLeftCell="A2" activePane="bottomLeft" state="frozen"/>
      <selection activeCell="R29" sqref="R29"/>
      <selection pane="bottomLeft" activeCell="L1" sqref="L1:L1048576"/>
    </sheetView>
  </sheetViews>
  <sheetFormatPr defaultColWidth="8.6640625" defaultRowHeight="15" x14ac:dyDescent="0.25"/>
  <cols>
    <col min="1" max="1" width="4.33203125" style="14" bestFit="1" customWidth="1"/>
    <col min="2" max="2" width="110.6640625" style="14" customWidth="1"/>
    <col min="3" max="3" width="10.109375" style="22" customWidth="1"/>
    <col min="4" max="4" width="10.109375" style="14" customWidth="1"/>
    <col min="5" max="6" width="10.109375" style="17" customWidth="1"/>
    <col min="7" max="7" width="10.109375" style="22" customWidth="1"/>
    <col min="8" max="8" width="10.109375" style="14" customWidth="1"/>
    <col min="9" max="9" width="10.33203125" style="22" bestFit="1" customWidth="1"/>
    <col min="10" max="10" width="22.44140625" style="22" bestFit="1" customWidth="1"/>
    <col min="11" max="11" width="12.6640625" style="14" bestFit="1" customWidth="1"/>
    <col min="12" max="12" width="10" style="17" customWidth="1"/>
    <col min="13" max="16384" width="8.6640625" style="14"/>
  </cols>
  <sheetData>
    <row r="1" spans="1:12" s="113" customFormat="1" ht="46.8" x14ac:dyDescent="0.3">
      <c r="A1" s="114" t="s">
        <v>789</v>
      </c>
      <c r="B1" s="115" t="s">
        <v>790</v>
      </c>
      <c r="C1" s="116" t="s">
        <v>40</v>
      </c>
      <c r="D1" s="114" t="s">
        <v>41</v>
      </c>
      <c r="E1" s="116" t="s">
        <v>42</v>
      </c>
      <c r="F1" s="116" t="s">
        <v>43</v>
      </c>
      <c r="G1" s="118" t="s">
        <v>44</v>
      </c>
      <c r="H1" s="119" t="s">
        <v>45</v>
      </c>
      <c r="I1" s="118" t="s">
        <v>46</v>
      </c>
      <c r="J1" s="120" t="s">
        <v>47</v>
      </c>
      <c r="K1" s="121" t="s">
        <v>41</v>
      </c>
      <c r="L1" s="214" t="s">
        <v>1000</v>
      </c>
    </row>
    <row r="2" spans="1:12" ht="15.6" x14ac:dyDescent="0.25">
      <c r="A2" s="233" t="s">
        <v>48</v>
      </c>
      <c r="B2" s="73" t="s">
        <v>791</v>
      </c>
      <c r="C2" s="74"/>
      <c r="D2" s="74"/>
      <c r="E2" s="74"/>
      <c r="F2" s="74"/>
      <c r="G2" s="74"/>
      <c r="H2" s="74"/>
      <c r="I2" s="74"/>
      <c r="J2" s="74"/>
      <c r="K2" s="74"/>
      <c r="L2" s="74"/>
    </row>
    <row r="3" spans="1:12" x14ac:dyDescent="0.25">
      <c r="A3" s="233"/>
      <c r="B3" s="31" t="s">
        <v>792</v>
      </c>
      <c r="C3" s="33" t="s">
        <v>35</v>
      </c>
      <c r="D3" s="31"/>
      <c r="E3" s="33" t="s">
        <v>1</v>
      </c>
      <c r="F3" s="33" t="s">
        <v>2</v>
      </c>
      <c r="G3" s="46" t="s">
        <v>1</v>
      </c>
      <c r="H3" s="47"/>
      <c r="I3" s="46" t="s">
        <v>15</v>
      </c>
      <c r="J3" s="122" t="s">
        <v>35</v>
      </c>
      <c r="K3" s="123"/>
      <c r="L3" s="122" t="s">
        <v>1001</v>
      </c>
    </row>
    <row r="4" spans="1:12" x14ac:dyDescent="0.25">
      <c r="A4" s="233"/>
      <c r="B4" s="31" t="s">
        <v>793</v>
      </c>
      <c r="C4" s="33" t="s">
        <v>35</v>
      </c>
      <c r="D4" s="31"/>
      <c r="E4" s="33" t="s">
        <v>2</v>
      </c>
      <c r="F4" s="33" t="s">
        <v>2</v>
      </c>
      <c r="G4" s="46" t="s">
        <v>2</v>
      </c>
      <c r="H4" s="47"/>
      <c r="I4" s="46" t="s">
        <v>15</v>
      </c>
      <c r="J4" s="122" t="s">
        <v>35</v>
      </c>
      <c r="K4" s="123"/>
      <c r="L4" s="122" t="s">
        <v>1001</v>
      </c>
    </row>
    <row r="5" spans="1:12" x14ac:dyDescent="0.25">
      <c r="A5" s="233"/>
      <c r="B5" s="31" t="s">
        <v>794</v>
      </c>
      <c r="C5" s="33" t="s">
        <v>35</v>
      </c>
      <c r="D5" s="31" t="s">
        <v>795</v>
      </c>
      <c r="E5" s="33" t="s">
        <v>1</v>
      </c>
      <c r="F5" s="33" t="s">
        <v>2</v>
      </c>
      <c r="G5" s="46" t="s">
        <v>1</v>
      </c>
      <c r="H5" s="47"/>
      <c r="I5" s="46" t="s">
        <v>15</v>
      </c>
      <c r="J5" s="122" t="s">
        <v>35</v>
      </c>
      <c r="K5" s="123"/>
      <c r="L5" s="122" t="s">
        <v>1001</v>
      </c>
    </row>
    <row r="6" spans="1:12" x14ac:dyDescent="0.25">
      <c r="A6" s="233"/>
      <c r="B6" s="31" t="s">
        <v>796</v>
      </c>
      <c r="C6" s="33" t="s">
        <v>35</v>
      </c>
      <c r="D6" s="31"/>
      <c r="E6" s="33" t="s">
        <v>2</v>
      </c>
      <c r="F6" s="33" t="s">
        <v>2</v>
      </c>
      <c r="G6" s="46" t="s">
        <v>2</v>
      </c>
      <c r="H6" s="47"/>
      <c r="I6" s="46" t="s">
        <v>15</v>
      </c>
      <c r="J6" s="122" t="s">
        <v>35</v>
      </c>
      <c r="K6" s="123"/>
      <c r="L6" s="122" t="s">
        <v>1001</v>
      </c>
    </row>
    <row r="7" spans="1:12" x14ac:dyDescent="0.25">
      <c r="A7" s="233"/>
      <c r="B7" s="31" t="s">
        <v>797</v>
      </c>
      <c r="C7" s="33" t="s">
        <v>35</v>
      </c>
      <c r="D7" s="31"/>
      <c r="E7" s="33" t="s">
        <v>2</v>
      </c>
      <c r="F7" s="33" t="s">
        <v>2</v>
      </c>
      <c r="G7" s="46" t="s">
        <v>2</v>
      </c>
      <c r="H7" s="47"/>
      <c r="I7" s="46" t="s">
        <v>15</v>
      </c>
      <c r="J7" s="122" t="s">
        <v>35</v>
      </c>
      <c r="K7" s="123"/>
      <c r="L7" s="122" t="s">
        <v>1001</v>
      </c>
    </row>
    <row r="8" spans="1:12" x14ac:dyDescent="0.25">
      <c r="A8" s="233"/>
      <c r="B8" s="31" t="s">
        <v>798</v>
      </c>
      <c r="C8" s="33" t="s">
        <v>35</v>
      </c>
      <c r="D8" s="31"/>
      <c r="E8" s="33" t="s">
        <v>2</v>
      </c>
      <c r="F8" s="33" t="s">
        <v>2</v>
      </c>
      <c r="G8" s="46" t="s">
        <v>2</v>
      </c>
      <c r="H8" s="47"/>
      <c r="I8" s="46" t="s">
        <v>15</v>
      </c>
      <c r="J8" s="122" t="s">
        <v>35</v>
      </c>
      <c r="K8" s="123"/>
      <c r="L8" s="122" t="s">
        <v>1001</v>
      </c>
    </row>
    <row r="9" spans="1:12" x14ac:dyDescent="0.25">
      <c r="A9" s="233"/>
      <c r="B9" s="31" t="s">
        <v>799</v>
      </c>
      <c r="C9" s="33" t="s">
        <v>35</v>
      </c>
      <c r="D9" s="58" t="s">
        <v>253</v>
      </c>
      <c r="E9" s="33" t="s">
        <v>1</v>
      </c>
      <c r="F9" s="33" t="s">
        <v>2</v>
      </c>
      <c r="G9" s="46" t="s">
        <v>1</v>
      </c>
      <c r="H9" s="47" t="s">
        <v>800</v>
      </c>
      <c r="I9" s="46" t="s">
        <v>15</v>
      </c>
      <c r="J9" s="122" t="s">
        <v>35</v>
      </c>
      <c r="K9" s="123"/>
      <c r="L9" s="122" t="s">
        <v>1001</v>
      </c>
    </row>
    <row r="10" spans="1:12" ht="15.6" x14ac:dyDescent="0.25">
      <c r="A10" s="233"/>
      <c r="B10" s="31" t="s">
        <v>801</v>
      </c>
      <c r="C10" s="33" t="s">
        <v>35</v>
      </c>
      <c r="D10" s="31"/>
      <c r="E10" s="33" t="s">
        <v>1</v>
      </c>
      <c r="F10" s="33" t="s">
        <v>2</v>
      </c>
      <c r="G10" s="46" t="s">
        <v>36</v>
      </c>
      <c r="H10" s="47" t="s">
        <v>802</v>
      </c>
      <c r="I10" s="46" t="s">
        <v>15</v>
      </c>
      <c r="J10" s="74"/>
      <c r="K10" s="74"/>
      <c r="L10" s="74" t="s">
        <v>1001</v>
      </c>
    </row>
    <row r="11" spans="1:12" ht="15.6" x14ac:dyDescent="0.25">
      <c r="A11" s="233"/>
      <c r="B11" s="31" t="s">
        <v>803</v>
      </c>
      <c r="C11" s="33" t="s">
        <v>37</v>
      </c>
      <c r="D11" s="58" t="s">
        <v>253</v>
      </c>
      <c r="E11" s="33" t="s">
        <v>2</v>
      </c>
      <c r="F11" s="33" t="s">
        <v>2</v>
      </c>
      <c r="G11" s="46" t="s">
        <v>36</v>
      </c>
      <c r="H11" s="47" t="s">
        <v>627</v>
      </c>
      <c r="I11" s="46" t="s">
        <v>15</v>
      </c>
      <c r="J11" s="74"/>
      <c r="K11" s="74"/>
      <c r="L11" s="74" t="s">
        <v>1001</v>
      </c>
    </row>
    <row r="12" spans="1:12" ht="15.6" x14ac:dyDescent="0.25">
      <c r="A12" s="233"/>
      <c r="B12" s="31" t="s">
        <v>804</v>
      </c>
      <c r="C12" s="33" t="s">
        <v>35</v>
      </c>
      <c r="D12" s="31" t="s">
        <v>805</v>
      </c>
      <c r="E12" s="33" t="s">
        <v>2</v>
      </c>
      <c r="F12" s="33" t="s">
        <v>2</v>
      </c>
      <c r="G12" s="46" t="s">
        <v>36</v>
      </c>
      <c r="H12" s="47"/>
      <c r="I12" s="46" t="s">
        <v>15</v>
      </c>
      <c r="J12" s="74"/>
      <c r="K12" s="74"/>
      <c r="L12" s="74" t="s">
        <v>1001</v>
      </c>
    </row>
    <row r="13" spans="1:12" x14ac:dyDescent="0.25">
      <c r="A13" s="233"/>
      <c r="B13" s="31" t="s">
        <v>806</v>
      </c>
      <c r="C13" s="33" t="s">
        <v>37</v>
      </c>
      <c r="D13" s="58" t="s">
        <v>253</v>
      </c>
      <c r="E13" s="33" t="s">
        <v>2</v>
      </c>
      <c r="F13" s="33" t="s">
        <v>2</v>
      </c>
      <c r="G13" s="46" t="s">
        <v>2</v>
      </c>
      <c r="H13" s="47"/>
      <c r="I13" s="46" t="s">
        <v>15</v>
      </c>
      <c r="J13" s="122" t="s">
        <v>35</v>
      </c>
      <c r="K13" s="123"/>
      <c r="L13" s="122" t="s">
        <v>1001</v>
      </c>
    </row>
    <row r="14" spans="1:12" x14ac:dyDescent="0.25">
      <c r="A14" s="233"/>
      <c r="B14" s="31" t="s">
        <v>807</v>
      </c>
      <c r="C14" s="33" t="s">
        <v>35</v>
      </c>
      <c r="D14" s="31"/>
      <c r="E14" s="33" t="s">
        <v>2</v>
      </c>
      <c r="F14" s="33" t="s">
        <v>2</v>
      </c>
      <c r="G14" s="46" t="s">
        <v>2</v>
      </c>
      <c r="H14" s="47"/>
      <c r="I14" s="46" t="s">
        <v>15</v>
      </c>
      <c r="J14" s="122" t="s">
        <v>35</v>
      </c>
      <c r="K14" s="123"/>
      <c r="L14" s="122" t="s">
        <v>1001</v>
      </c>
    </row>
    <row r="15" spans="1:12" x14ac:dyDescent="0.25">
      <c r="A15" s="233"/>
      <c r="B15" s="31" t="s">
        <v>808</v>
      </c>
      <c r="C15" s="33" t="s">
        <v>35</v>
      </c>
      <c r="D15" s="31"/>
      <c r="E15" s="33" t="s">
        <v>1</v>
      </c>
      <c r="F15" s="33" t="s">
        <v>2</v>
      </c>
      <c r="G15" s="46" t="s">
        <v>1</v>
      </c>
      <c r="H15" s="47"/>
      <c r="I15" s="46" t="s">
        <v>15</v>
      </c>
      <c r="J15" s="122" t="s">
        <v>35</v>
      </c>
      <c r="K15" s="123"/>
      <c r="L15" s="122" t="s">
        <v>1001</v>
      </c>
    </row>
    <row r="16" spans="1:12" x14ac:dyDescent="0.25">
      <c r="A16" s="233"/>
      <c r="B16" s="31" t="s">
        <v>809</v>
      </c>
      <c r="C16" s="33" t="s">
        <v>35</v>
      </c>
      <c r="D16" s="31"/>
      <c r="E16" s="33" t="s">
        <v>1</v>
      </c>
      <c r="F16" s="33" t="s">
        <v>2</v>
      </c>
      <c r="G16" s="46" t="s">
        <v>1</v>
      </c>
      <c r="H16" s="47"/>
      <c r="I16" s="46" t="s">
        <v>15</v>
      </c>
      <c r="J16" s="122" t="s">
        <v>35</v>
      </c>
      <c r="K16" s="123"/>
      <c r="L16" s="122" t="s">
        <v>1001</v>
      </c>
    </row>
    <row r="17" spans="1:12" x14ac:dyDescent="0.25">
      <c r="A17" s="233"/>
      <c r="B17" s="31" t="s">
        <v>810</v>
      </c>
      <c r="C17" s="33" t="s">
        <v>35</v>
      </c>
      <c r="D17" s="31"/>
      <c r="E17" s="33" t="s">
        <v>1</v>
      </c>
      <c r="F17" s="33" t="s">
        <v>2</v>
      </c>
      <c r="G17" s="46" t="s">
        <v>1</v>
      </c>
      <c r="H17" s="47"/>
      <c r="I17" s="46" t="s">
        <v>15</v>
      </c>
      <c r="J17" s="122" t="s">
        <v>35</v>
      </c>
      <c r="K17" s="123"/>
      <c r="L17" s="122" t="s">
        <v>1001</v>
      </c>
    </row>
    <row r="18" spans="1:12" x14ac:dyDescent="0.25">
      <c r="A18" s="77"/>
      <c r="B18" s="78" t="s">
        <v>811</v>
      </c>
      <c r="C18" s="79"/>
      <c r="D18" s="77"/>
      <c r="E18" s="79"/>
      <c r="F18" s="79"/>
      <c r="G18" s="79"/>
      <c r="H18" s="77"/>
      <c r="I18" s="79"/>
      <c r="J18" s="79"/>
      <c r="K18" s="77"/>
      <c r="L18" s="39"/>
    </row>
    <row r="19" spans="1:12" ht="30" x14ac:dyDescent="0.25">
      <c r="A19" s="58"/>
      <c r="B19" s="197" t="s">
        <v>812</v>
      </c>
      <c r="C19" s="60" t="s">
        <v>37</v>
      </c>
      <c r="D19" s="58" t="s">
        <v>813</v>
      </c>
      <c r="E19" s="33" t="s">
        <v>2</v>
      </c>
      <c r="F19" s="33"/>
      <c r="G19" s="46" t="s">
        <v>36</v>
      </c>
      <c r="H19" s="47" t="s">
        <v>741</v>
      </c>
      <c r="I19" s="46" t="s">
        <v>15</v>
      </c>
      <c r="J19" s="74"/>
      <c r="K19" s="74"/>
      <c r="L19" s="74" t="s">
        <v>1001</v>
      </c>
    </row>
    <row r="20" spans="1:12" ht="45" x14ac:dyDescent="0.25">
      <c r="A20" s="58"/>
      <c r="B20" s="197" t="s">
        <v>814</v>
      </c>
      <c r="C20" s="60" t="s">
        <v>35</v>
      </c>
      <c r="D20" s="58" t="s">
        <v>768</v>
      </c>
      <c r="E20" s="33" t="s">
        <v>1</v>
      </c>
      <c r="F20" s="33"/>
      <c r="G20" s="46" t="s">
        <v>36</v>
      </c>
      <c r="H20" s="47" t="s">
        <v>741</v>
      </c>
      <c r="I20" s="46" t="s">
        <v>15</v>
      </c>
      <c r="J20" s="74"/>
      <c r="K20" s="74"/>
      <c r="L20" s="74" t="s">
        <v>1001</v>
      </c>
    </row>
    <row r="21" spans="1:12" ht="30" x14ac:dyDescent="0.25">
      <c r="A21" s="58"/>
      <c r="B21" s="197" t="s">
        <v>815</v>
      </c>
      <c r="C21" s="60" t="s">
        <v>35</v>
      </c>
      <c r="D21" s="58"/>
      <c r="E21" s="33" t="s">
        <v>2</v>
      </c>
      <c r="F21" s="33"/>
      <c r="G21" s="46" t="s">
        <v>36</v>
      </c>
      <c r="H21" s="47" t="s">
        <v>741</v>
      </c>
      <c r="I21" s="46" t="s">
        <v>15</v>
      </c>
      <c r="J21" s="74"/>
      <c r="K21" s="74"/>
      <c r="L21" s="74" t="s">
        <v>1001</v>
      </c>
    </row>
    <row r="22" spans="1:12" ht="30" x14ac:dyDescent="0.25">
      <c r="A22" s="58"/>
      <c r="B22" s="197" t="s">
        <v>816</v>
      </c>
      <c r="C22" s="60" t="s">
        <v>37</v>
      </c>
      <c r="D22" s="58" t="s">
        <v>768</v>
      </c>
      <c r="E22" s="33" t="s">
        <v>2</v>
      </c>
      <c r="F22" s="33"/>
      <c r="G22" s="46" t="s">
        <v>36</v>
      </c>
      <c r="H22" s="47" t="s">
        <v>741</v>
      </c>
      <c r="I22" s="46" t="s">
        <v>15</v>
      </c>
      <c r="J22" s="74"/>
      <c r="K22" s="74"/>
      <c r="L22" s="74" t="s">
        <v>1001</v>
      </c>
    </row>
    <row r="23" spans="1:12" ht="30" x14ac:dyDescent="0.25">
      <c r="A23" s="58"/>
      <c r="B23" s="197" t="s">
        <v>817</v>
      </c>
      <c r="C23" s="60" t="s">
        <v>35</v>
      </c>
      <c r="D23" s="58" t="s">
        <v>818</v>
      </c>
      <c r="E23" s="33" t="s">
        <v>1</v>
      </c>
      <c r="F23" s="33"/>
      <c r="G23" s="46" t="s">
        <v>1</v>
      </c>
      <c r="H23" s="47" t="s">
        <v>819</v>
      </c>
      <c r="I23" s="46" t="s">
        <v>15</v>
      </c>
      <c r="J23" s="122" t="s">
        <v>35</v>
      </c>
      <c r="K23" s="123"/>
      <c r="L23" s="122" t="s">
        <v>1001</v>
      </c>
    </row>
    <row r="24" spans="1:12" ht="30" x14ac:dyDescent="0.25">
      <c r="A24" s="58"/>
      <c r="B24" s="197" t="s">
        <v>820</v>
      </c>
      <c r="C24" s="60" t="s">
        <v>35</v>
      </c>
      <c r="D24" s="58"/>
      <c r="E24" s="33" t="s">
        <v>2</v>
      </c>
      <c r="F24" s="33"/>
      <c r="G24" s="46" t="s">
        <v>36</v>
      </c>
      <c r="H24" s="47"/>
      <c r="I24" s="46" t="s">
        <v>15</v>
      </c>
      <c r="J24" s="74"/>
      <c r="K24" s="74"/>
      <c r="L24" s="74" t="s">
        <v>1001</v>
      </c>
    </row>
    <row r="25" spans="1:12" ht="75" x14ac:dyDescent="0.25">
      <c r="A25" s="58"/>
      <c r="B25" s="197" t="s">
        <v>821</v>
      </c>
      <c r="C25" s="60" t="s">
        <v>35</v>
      </c>
      <c r="D25" s="58"/>
      <c r="E25" s="33" t="s">
        <v>1</v>
      </c>
      <c r="F25" s="33"/>
      <c r="G25" s="46" t="s">
        <v>1</v>
      </c>
      <c r="H25" s="47"/>
      <c r="I25" s="46" t="s">
        <v>15</v>
      </c>
      <c r="J25" s="122" t="s">
        <v>35</v>
      </c>
      <c r="K25" s="123"/>
      <c r="L25" s="122" t="s">
        <v>1001</v>
      </c>
    </row>
    <row r="26" spans="1:12" ht="45" x14ac:dyDescent="0.25">
      <c r="A26" s="58"/>
      <c r="B26" s="197" t="s">
        <v>822</v>
      </c>
      <c r="C26" s="60" t="s">
        <v>35</v>
      </c>
      <c r="D26" s="58"/>
      <c r="E26" s="33" t="s">
        <v>1</v>
      </c>
      <c r="F26" s="33"/>
      <c r="G26" s="46" t="s">
        <v>1</v>
      </c>
      <c r="H26" s="47"/>
      <c r="I26" s="46" t="s">
        <v>15</v>
      </c>
      <c r="J26" s="122" t="s">
        <v>35</v>
      </c>
      <c r="K26" s="123"/>
      <c r="L26" s="122" t="s">
        <v>1001</v>
      </c>
    </row>
    <row r="27" spans="1:12" ht="409.6" x14ac:dyDescent="0.25">
      <c r="A27" s="58"/>
      <c r="B27" s="197" t="s">
        <v>823</v>
      </c>
      <c r="C27" s="60" t="s">
        <v>35</v>
      </c>
      <c r="D27" s="58"/>
      <c r="E27" s="33" t="s">
        <v>1</v>
      </c>
      <c r="F27" s="33"/>
      <c r="G27" s="46" t="s">
        <v>1</v>
      </c>
      <c r="H27" s="47"/>
      <c r="I27" s="46" t="s">
        <v>15</v>
      </c>
      <c r="J27" s="122" t="s">
        <v>35</v>
      </c>
      <c r="K27" s="123"/>
      <c r="L27" s="122" t="s">
        <v>1001</v>
      </c>
    </row>
    <row r="28" spans="1:12" ht="120" x14ac:dyDescent="0.25">
      <c r="A28" s="58"/>
      <c r="B28" s="197" t="s">
        <v>824</v>
      </c>
      <c r="C28" s="60" t="s">
        <v>35</v>
      </c>
      <c r="D28" s="58"/>
      <c r="E28" s="33" t="s">
        <v>1</v>
      </c>
      <c r="F28" s="33"/>
      <c r="G28" s="46" t="s">
        <v>1</v>
      </c>
      <c r="H28" s="47"/>
      <c r="I28" s="46" t="s">
        <v>15</v>
      </c>
      <c r="J28" s="122" t="s">
        <v>35</v>
      </c>
      <c r="K28" s="123"/>
      <c r="L28" s="122" t="s">
        <v>1001</v>
      </c>
    </row>
    <row r="29" spans="1:12" ht="30" x14ac:dyDescent="0.25">
      <c r="A29" s="58"/>
      <c r="B29" s="197" t="s">
        <v>825</v>
      </c>
      <c r="C29" s="60" t="s">
        <v>35</v>
      </c>
      <c r="D29" s="58" t="s">
        <v>826</v>
      </c>
      <c r="E29" s="33" t="s">
        <v>1</v>
      </c>
      <c r="F29" s="33"/>
      <c r="G29" s="46" t="s">
        <v>36</v>
      </c>
      <c r="H29" s="47" t="s">
        <v>741</v>
      </c>
      <c r="I29" s="46" t="s">
        <v>15</v>
      </c>
      <c r="J29" s="74"/>
      <c r="K29" s="74"/>
      <c r="L29" s="74" t="s">
        <v>1001</v>
      </c>
    </row>
    <row r="30" spans="1:12" x14ac:dyDescent="0.25">
      <c r="A30" s="58"/>
      <c r="B30" s="197" t="s">
        <v>827</v>
      </c>
      <c r="C30" s="60" t="s">
        <v>35</v>
      </c>
      <c r="D30" s="58" t="s">
        <v>828</v>
      </c>
      <c r="E30" s="33" t="s">
        <v>2</v>
      </c>
      <c r="F30" s="33"/>
      <c r="G30" s="46" t="s">
        <v>2</v>
      </c>
      <c r="H30" s="47"/>
      <c r="I30" s="46" t="s">
        <v>15</v>
      </c>
      <c r="J30" s="122" t="s">
        <v>35</v>
      </c>
      <c r="K30" s="123"/>
      <c r="L30" s="122" t="s">
        <v>1001</v>
      </c>
    </row>
    <row r="31" spans="1:12" ht="15.6" x14ac:dyDescent="0.25">
      <c r="A31" s="28"/>
      <c r="B31" s="29" t="s">
        <v>829</v>
      </c>
      <c r="C31" s="30" t="s">
        <v>40</v>
      </c>
      <c r="D31" s="42" t="s">
        <v>41</v>
      </c>
      <c r="E31" s="74"/>
      <c r="F31" s="74"/>
      <c r="G31" s="74"/>
      <c r="H31" s="74"/>
      <c r="I31" s="74"/>
      <c r="J31" s="74"/>
      <c r="K31" s="74"/>
      <c r="L31" s="74"/>
    </row>
    <row r="32" spans="1:12" ht="15.6" x14ac:dyDescent="0.25">
      <c r="A32" s="33" t="s">
        <v>129</v>
      </c>
      <c r="B32" s="58" t="s">
        <v>830</v>
      </c>
      <c r="C32" s="60" t="s">
        <v>35</v>
      </c>
      <c r="D32" s="58"/>
      <c r="E32" s="33" t="s">
        <v>1</v>
      </c>
      <c r="F32" s="33"/>
      <c r="G32" s="46" t="s">
        <v>36</v>
      </c>
      <c r="H32" s="47" t="s">
        <v>831</v>
      </c>
      <c r="I32" s="46" t="s">
        <v>15</v>
      </c>
      <c r="J32" s="74"/>
      <c r="K32" s="74"/>
      <c r="L32" s="74" t="s">
        <v>1001</v>
      </c>
    </row>
    <row r="33" spans="1:12" x14ac:dyDescent="0.25">
      <c r="A33" s="58"/>
      <c r="B33" s="56" t="s">
        <v>832</v>
      </c>
      <c r="C33" s="60" t="s">
        <v>35</v>
      </c>
      <c r="D33" s="58"/>
      <c r="E33" s="33" t="s">
        <v>1</v>
      </c>
      <c r="F33" s="33"/>
      <c r="G33" s="46" t="s">
        <v>1</v>
      </c>
      <c r="H33" s="47"/>
      <c r="I33" s="46" t="s">
        <v>15</v>
      </c>
      <c r="J33" s="122" t="s">
        <v>35</v>
      </c>
      <c r="K33" s="123"/>
      <c r="L33" s="122" t="s">
        <v>1001</v>
      </c>
    </row>
    <row r="34" spans="1:12" ht="15.6" x14ac:dyDescent="0.25">
      <c r="A34" s="28"/>
      <c r="B34" s="29" t="s">
        <v>833</v>
      </c>
      <c r="C34" s="30" t="s">
        <v>40</v>
      </c>
      <c r="D34" s="42" t="s">
        <v>41</v>
      </c>
      <c r="E34" s="74"/>
      <c r="F34" s="74"/>
      <c r="G34" s="74"/>
      <c r="H34" s="74"/>
      <c r="I34" s="74"/>
      <c r="J34" s="74"/>
      <c r="K34" s="74"/>
      <c r="L34" s="74"/>
    </row>
    <row r="35" spans="1:12" ht="15.6" x14ac:dyDescent="0.25">
      <c r="A35" s="33" t="s">
        <v>129</v>
      </c>
      <c r="B35" s="56" t="s">
        <v>834</v>
      </c>
      <c r="C35" s="60" t="s">
        <v>35</v>
      </c>
      <c r="D35" s="58"/>
      <c r="E35" s="33" t="s">
        <v>1</v>
      </c>
      <c r="F35" s="33"/>
      <c r="G35" s="46" t="s">
        <v>36</v>
      </c>
      <c r="H35" s="47" t="s">
        <v>831</v>
      </c>
      <c r="I35" s="46" t="s">
        <v>15</v>
      </c>
      <c r="J35" s="74"/>
      <c r="K35" s="74"/>
      <c r="L35" s="74" t="s">
        <v>1001</v>
      </c>
    </row>
    <row r="70" spans="6:6" x14ac:dyDescent="0.25">
      <c r="F70" s="71"/>
    </row>
    <row r="112" spans="5:5" x14ac:dyDescent="0.25">
      <c r="E112" s="71"/>
    </row>
    <row r="113" spans="5:6" x14ac:dyDescent="0.25">
      <c r="F113" s="71" t="s">
        <v>388</v>
      </c>
    </row>
    <row r="115" spans="5:6" x14ac:dyDescent="0.25">
      <c r="E115" s="71"/>
    </row>
    <row r="116" spans="5:6" x14ac:dyDescent="0.25">
      <c r="F116" s="71"/>
    </row>
  </sheetData>
  <autoFilter ref="A1:K35" xr:uid="{C0C582AF-CC99-4BCC-956A-5702CD3CE7AA}"/>
  <mergeCells count="1">
    <mergeCell ref="A2:A17"/>
  </mergeCells>
  <conditionalFormatting sqref="G1:G30 G32:G33 G35">
    <cfRule type="cellIs" dxfId="29" priority="1" operator="equal">
      <formula>"X"</formula>
    </cfRule>
    <cfRule type="cellIs" dxfId="28" priority="2" operator="equal">
      <formula>"N"</formula>
    </cfRule>
    <cfRule type="containsText" dxfId="27" priority="3" operator="containsText" text="SX">
      <formula>NOT(ISERROR(SEARCH("SX",G1)))</formula>
    </cfRule>
  </conditionalFormatting>
  <pageMargins left="0.7" right="0.7" top="0.75" bottom="0.75" header="0.3" footer="0.3"/>
  <pageSetup paperSize="9" scale="55"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BBC39-6EFD-4D27-9252-8BDA348706A0}">
  <sheetPr>
    <tabColor theme="7"/>
    <pageSetUpPr fitToPage="1"/>
  </sheetPr>
  <dimension ref="A1:L113"/>
  <sheetViews>
    <sheetView zoomScale="85" zoomScaleNormal="85" workbookViewId="0">
      <pane ySplit="1" topLeftCell="A2" activePane="bottomLeft" state="frozen"/>
      <selection activeCell="R29" sqref="R29"/>
      <selection pane="bottomLeft" activeCell="L1" sqref="L1:L1048576"/>
    </sheetView>
  </sheetViews>
  <sheetFormatPr defaultColWidth="8.6640625" defaultRowHeight="15" x14ac:dyDescent="0.3"/>
  <cols>
    <col min="1" max="1" width="4.33203125" style="174" bestFit="1" customWidth="1"/>
    <col min="2" max="2" width="42.21875" style="174" customWidth="1"/>
    <col min="3" max="3" width="10.109375" style="191" customWidth="1"/>
    <col min="4" max="4" width="32.44140625" style="174" customWidth="1"/>
    <col min="5" max="7" width="10.109375" style="191" customWidth="1"/>
    <col min="8" max="8" width="31.44140625" style="174" customWidth="1"/>
    <col min="9" max="9" width="8.6640625" style="191"/>
    <col min="10" max="10" width="22.44140625" style="191" bestFit="1" customWidth="1"/>
    <col min="11" max="11" width="28.88671875" style="174" customWidth="1"/>
    <col min="12" max="12" width="12.6640625" style="191" customWidth="1"/>
    <col min="13" max="16384" width="8.6640625" style="174"/>
  </cols>
  <sheetData>
    <row r="1" spans="1:12" ht="93.6" x14ac:dyDescent="0.3">
      <c r="A1" s="183" t="s">
        <v>789</v>
      </c>
      <c r="B1" s="184" t="s">
        <v>835</v>
      </c>
      <c r="C1" s="185" t="s">
        <v>40</v>
      </c>
      <c r="D1" s="183" t="s">
        <v>41</v>
      </c>
      <c r="E1" s="185" t="s">
        <v>42</v>
      </c>
      <c r="F1" s="185" t="s">
        <v>43</v>
      </c>
      <c r="G1" s="220" t="s">
        <v>44</v>
      </c>
      <c r="H1" s="221" t="s">
        <v>45</v>
      </c>
      <c r="I1" s="220" t="s">
        <v>46</v>
      </c>
      <c r="J1" s="222" t="s">
        <v>47</v>
      </c>
      <c r="K1" s="223" t="s">
        <v>41</v>
      </c>
      <c r="L1" s="214" t="s">
        <v>1000</v>
      </c>
    </row>
    <row r="2" spans="1:12" ht="124.2" x14ac:dyDescent="0.3">
      <c r="A2" s="230" t="s">
        <v>48</v>
      </c>
      <c r="B2" s="170" t="s">
        <v>836</v>
      </c>
      <c r="C2" s="175" t="s">
        <v>35</v>
      </c>
      <c r="D2" s="170"/>
      <c r="E2" s="175" t="s">
        <v>2</v>
      </c>
      <c r="F2" s="175" t="s">
        <v>2</v>
      </c>
      <c r="G2" s="218" t="s">
        <v>2</v>
      </c>
      <c r="H2" s="201"/>
      <c r="I2" s="218" t="s">
        <v>17</v>
      </c>
      <c r="J2" s="219" t="s">
        <v>35</v>
      </c>
      <c r="K2" s="200" t="s">
        <v>837</v>
      </c>
      <c r="L2" s="219" t="s">
        <v>1001</v>
      </c>
    </row>
    <row r="3" spans="1:12" ht="45" x14ac:dyDescent="0.3">
      <c r="A3" s="230"/>
      <c r="B3" s="170" t="s">
        <v>838</v>
      </c>
      <c r="C3" s="175" t="s">
        <v>35</v>
      </c>
      <c r="D3" s="170"/>
      <c r="E3" s="175" t="s">
        <v>2</v>
      </c>
      <c r="F3" s="175" t="s">
        <v>2</v>
      </c>
      <c r="G3" s="218" t="s">
        <v>2</v>
      </c>
      <c r="H3" s="201"/>
      <c r="I3" s="218" t="s">
        <v>17</v>
      </c>
      <c r="J3" s="219" t="s">
        <v>35</v>
      </c>
      <c r="K3" s="200"/>
      <c r="L3" s="219" t="s">
        <v>1001</v>
      </c>
    </row>
    <row r="4" spans="1:12" ht="60" x14ac:dyDescent="0.3">
      <c r="A4" s="230"/>
      <c r="B4" s="170" t="s">
        <v>839</v>
      </c>
      <c r="C4" s="175" t="s">
        <v>35</v>
      </c>
      <c r="D4" s="170"/>
      <c r="E4" s="175" t="s">
        <v>2</v>
      </c>
      <c r="F4" s="175" t="s">
        <v>2</v>
      </c>
      <c r="G4" s="218" t="s">
        <v>2</v>
      </c>
      <c r="H4" s="201"/>
      <c r="I4" s="218" t="s">
        <v>17</v>
      </c>
      <c r="J4" s="219" t="s">
        <v>35</v>
      </c>
      <c r="K4" s="200"/>
      <c r="L4" s="219" t="s">
        <v>1001</v>
      </c>
    </row>
    <row r="5" spans="1:12" ht="124.2" x14ac:dyDescent="0.3">
      <c r="A5" s="233" t="s">
        <v>51</v>
      </c>
      <c r="B5" s="194" t="s">
        <v>840</v>
      </c>
      <c r="C5" s="175" t="s">
        <v>35</v>
      </c>
      <c r="D5" s="170"/>
      <c r="E5" s="175" t="s">
        <v>2</v>
      </c>
      <c r="F5" s="175" t="s">
        <v>2</v>
      </c>
      <c r="G5" s="218" t="s">
        <v>2</v>
      </c>
      <c r="H5" s="201"/>
      <c r="I5" s="218" t="s">
        <v>17</v>
      </c>
      <c r="J5" s="219" t="s">
        <v>35</v>
      </c>
      <c r="K5" s="200" t="s">
        <v>837</v>
      </c>
      <c r="L5" s="219" t="s">
        <v>1001</v>
      </c>
    </row>
    <row r="6" spans="1:12" ht="45" x14ac:dyDescent="0.3">
      <c r="A6" s="233"/>
      <c r="B6" s="170" t="s">
        <v>841</v>
      </c>
      <c r="C6" s="175" t="s">
        <v>35</v>
      </c>
      <c r="D6" s="170"/>
      <c r="E6" s="175" t="s">
        <v>1</v>
      </c>
      <c r="F6" s="175" t="s">
        <v>2</v>
      </c>
      <c r="G6" s="218" t="s">
        <v>1</v>
      </c>
      <c r="H6" s="201"/>
      <c r="I6" s="218" t="s">
        <v>17</v>
      </c>
      <c r="J6" s="219" t="s">
        <v>35</v>
      </c>
      <c r="K6" s="200"/>
      <c r="L6" s="219" t="s">
        <v>1001</v>
      </c>
    </row>
    <row r="7" spans="1:12" ht="45" x14ac:dyDescent="0.3">
      <c r="A7" s="233"/>
      <c r="B7" s="170" t="s">
        <v>842</v>
      </c>
      <c r="C7" s="175" t="s">
        <v>35</v>
      </c>
      <c r="D7" s="170"/>
      <c r="E7" s="175" t="s">
        <v>2</v>
      </c>
      <c r="F7" s="175" t="s">
        <v>2</v>
      </c>
      <c r="G7" s="218" t="s">
        <v>2</v>
      </c>
      <c r="H7" s="201"/>
      <c r="I7" s="218" t="s">
        <v>17</v>
      </c>
      <c r="J7" s="219" t="s">
        <v>35</v>
      </c>
      <c r="K7" s="200"/>
      <c r="L7" s="219" t="s">
        <v>1001</v>
      </c>
    </row>
    <row r="8" spans="1:12" ht="30" x14ac:dyDescent="0.3">
      <c r="A8" s="233"/>
      <c r="B8" s="170" t="s">
        <v>843</v>
      </c>
      <c r="C8" s="175" t="s">
        <v>35</v>
      </c>
      <c r="D8" s="170"/>
      <c r="E8" s="175" t="s">
        <v>1</v>
      </c>
      <c r="F8" s="175" t="s">
        <v>2</v>
      </c>
      <c r="G8" s="218" t="s">
        <v>1</v>
      </c>
      <c r="H8" s="201"/>
      <c r="I8" s="218" t="s">
        <v>17</v>
      </c>
      <c r="J8" s="219" t="s">
        <v>35</v>
      </c>
      <c r="K8" s="200"/>
      <c r="L8" s="219" t="s">
        <v>1001</v>
      </c>
    </row>
    <row r="9" spans="1:12" ht="45" x14ac:dyDescent="0.3">
      <c r="A9" s="233"/>
      <c r="B9" s="170" t="s">
        <v>844</v>
      </c>
      <c r="C9" s="175" t="s">
        <v>35</v>
      </c>
      <c r="D9" s="170"/>
      <c r="E9" s="175" t="s">
        <v>2</v>
      </c>
      <c r="F9" s="175" t="s">
        <v>2</v>
      </c>
      <c r="G9" s="218" t="s">
        <v>2</v>
      </c>
      <c r="H9" s="201"/>
      <c r="I9" s="218" t="s">
        <v>17</v>
      </c>
      <c r="J9" s="219" t="s">
        <v>35</v>
      </c>
      <c r="K9" s="200"/>
      <c r="L9" s="219" t="s">
        <v>1001</v>
      </c>
    </row>
    <row r="10" spans="1:12" x14ac:dyDescent="0.3">
      <c r="A10" s="233"/>
      <c r="B10" s="170" t="s">
        <v>845</v>
      </c>
      <c r="C10" s="175" t="s">
        <v>35</v>
      </c>
      <c r="D10" s="170"/>
      <c r="E10" s="175" t="s">
        <v>1</v>
      </c>
      <c r="F10" s="175" t="s">
        <v>2</v>
      </c>
      <c r="G10" s="218" t="s">
        <v>1</v>
      </c>
      <c r="H10" s="201"/>
      <c r="I10" s="218" t="s">
        <v>17</v>
      </c>
      <c r="J10" s="219" t="s">
        <v>35</v>
      </c>
      <c r="K10" s="200"/>
      <c r="L10" s="219" t="s">
        <v>1001</v>
      </c>
    </row>
    <row r="11" spans="1:12" ht="30" x14ac:dyDescent="0.3">
      <c r="A11" s="233"/>
      <c r="B11" s="170" t="s">
        <v>846</v>
      </c>
      <c r="C11" s="175" t="s">
        <v>35</v>
      </c>
      <c r="D11" s="170"/>
      <c r="E11" s="175" t="s">
        <v>1</v>
      </c>
      <c r="F11" s="175" t="s">
        <v>2</v>
      </c>
      <c r="G11" s="218" t="s">
        <v>1</v>
      </c>
      <c r="H11" s="201"/>
      <c r="I11" s="218" t="s">
        <v>17</v>
      </c>
      <c r="J11" s="219" t="s">
        <v>35</v>
      </c>
      <c r="K11" s="200"/>
      <c r="L11" s="219" t="s">
        <v>1001</v>
      </c>
    </row>
    <row r="12" spans="1:12" x14ac:dyDescent="0.3">
      <c r="A12" s="233"/>
      <c r="B12" s="170" t="s">
        <v>847</v>
      </c>
      <c r="C12" s="175" t="s">
        <v>35</v>
      </c>
      <c r="D12" s="170"/>
      <c r="E12" s="175" t="s">
        <v>1</v>
      </c>
      <c r="F12" s="175" t="s">
        <v>2</v>
      </c>
      <c r="G12" s="218" t="s">
        <v>1</v>
      </c>
      <c r="H12" s="201"/>
      <c r="I12" s="218" t="s">
        <v>17</v>
      </c>
      <c r="J12" s="219" t="s">
        <v>35</v>
      </c>
      <c r="K12" s="200"/>
      <c r="L12" s="219" t="s">
        <v>1001</v>
      </c>
    </row>
    <row r="13" spans="1:12" s="20" customFormat="1" ht="15.6" x14ac:dyDescent="0.3">
      <c r="A13" s="233"/>
      <c r="B13" s="31" t="s">
        <v>848</v>
      </c>
      <c r="C13" s="33" t="s">
        <v>37</v>
      </c>
      <c r="D13" s="31"/>
      <c r="E13" s="33" t="s">
        <v>2</v>
      </c>
      <c r="F13" s="33" t="s">
        <v>2</v>
      </c>
      <c r="G13" s="46" t="s">
        <v>36</v>
      </c>
      <c r="H13" s="47"/>
      <c r="I13" s="46" t="s">
        <v>17</v>
      </c>
      <c r="J13" s="74"/>
      <c r="K13" s="74"/>
      <c r="L13" s="74"/>
    </row>
    <row r="14" spans="1:12" ht="30" x14ac:dyDescent="0.3">
      <c r="A14" s="233"/>
      <c r="B14" s="170" t="s">
        <v>849</v>
      </c>
      <c r="C14" s="175" t="s">
        <v>35</v>
      </c>
      <c r="D14" s="170"/>
      <c r="E14" s="175" t="s">
        <v>1</v>
      </c>
      <c r="F14" s="175" t="s">
        <v>2</v>
      </c>
      <c r="G14" s="218" t="s">
        <v>1</v>
      </c>
      <c r="H14" s="201"/>
      <c r="I14" s="218" t="s">
        <v>17</v>
      </c>
      <c r="J14" s="219" t="s">
        <v>35</v>
      </c>
      <c r="K14" s="200"/>
      <c r="L14" s="219" t="s">
        <v>1001</v>
      </c>
    </row>
    <row r="15" spans="1:12" ht="75" x14ac:dyDescent="0.3">
      <c r="A15" s="233"/>
      <c r="B15" s="170" t="s">
        <v>850</v>
      </c>
      <c r="C15" s="175" t="s">
        <v>35</v>
      </c>
      <c r="D15" s="170"/>
      <c r="E15" s="175" t="s">
        <v>1</v>
      </c>
      <c r="F15" s="175" t="s">
        <v>2</v>
      </c>
      <c r="G15" s="218" t="s">
        <v>1</v>
      </c>
      <c r="H15" s="201"/>
      <c r="I15" s="218" t="s">
        <v>17</v>
      </c>
      <c r="J15" s="219" t="s">
        <v>35</v>
      </c>
      <c r="K15" s="200"/>
      <c r="L15" s="219" t="s">
        <v>1001</v>
      </c>
    </row>
    <row r="16" spans="1:12" ht="120" x14ac:dyDescent="0.3">
      <c r="A16" s="233"/>
      <c r="B16" s="170" t="s">
        <v>851</v>
      </c>
      <c r="C16" s="175" t="s">
        <v>35</v>
      </c>
      <c r="D16" s="170"/>
      <c r="E16" s="175" t="s">
        <v>2</v>
      </c>
      <c r="F16" s="175" t="s">
        <v>2</v>
      </c>
      <c r="G16" s="218" t="s">
        <v>2</v>
      </c>
      <c r="H16" s="201"/>
      <c r="I16" s="218" t="s">
        <v>17</v>
      </c>
      <c r="J16" s="219" t="s">
        <v>35</v>
      </c>
      <c r="K16" s="200"/>
      <c r="L16" s="219" t="s">
        <v>1001</v>
      </c>
    </row>
    <row r="17" spans="1:12" x14ac:dyDescent="0.3">
      <c r="A17" s="224"/>
      <c r="B17" s="225" t="s">
        <v>811</v>
      </c>
      <c r="C17" s="226"/>
      <c r="D17" s="224"/>
      <c r="E17" s="224"/>
      <c r="F17" s="224"/>
      <c r="G17" s="224"/>
      <c r="H17" s="224"/>
      <c r="I17" s="226"/>
      <c r="J17" s="226"/>
      <c r="K17" s="224"/>
      <c r="L17" s="226"/>
    </row>
    <row r="18" spans="1:12" s="20" customFormat="1" ht="15.6" x14ac:dyDescent="0.3">
      <c r="A18" s="31"/>
      <c r="B18" s="80" t="s">
        <v>852</v>
      </c>
      <c r="C18" s="33" t="s">
        <v>37</v>
      </c>
      <c r="D18" s="44" t="s">
        <v>853</v>
      </c>
      <c r="E18" s="33" t="s">
        <v>2</v>
      </c>
      <c r="F18" s="33"/>
      <c r="G18" s="46" t="s">
        <v>36</v>
      </c>
      <c r="H18" s="47" t="s">
        <v>741</v>
      </c>
      <c r="I18" s="46" t="s">
        <v>17</v>
      </c>
      <c r="J18" s="74"/>
      <c r="K18" s="74"/>
      <c r="L18" s="74"/>
    </row>
    <row r="19" spans="1:12" ht="195" x14ac:dyDescent="0.3">
      <c r="A19" s="170"/>
      <c r="B19" s="190" t="s">
        <v>854</v>
      </c>
      <c r="C19" s="175" t="s">
        <v>35</v>
      </c>
      <c r="D19" s="176" t="s">
        <v>853</v>
      </c>
      <c r="E19" s="175" t="s">
        <v>1</v>
      </c>
      <c r="F19" s="175"/>
      <c r="G19" s="218" t="s">
        <v>1</v>
      </c>
      <c r="H19" s="201" t="s">
        <v>855</v>
      </c>
      <c r="I19" s="218" t="s">
        <v>17</v>
      </c>
      <c r="J19" s="219" t="s">
        <v>35</v>
      </c>
      <c r="K19" s="200" t="s">
        <v>855</v>
      </c>
      <c r="L19" s="219" t="s">
        <v>1001</v>
      </c>
    </row>
    <row r="20" spans="1:12" ht="195" x14ac:dyDescent="0.3">
      <c r="A20" s="170"/>
      <c r="B20" s="190" t="s">
        <v>856</v>
      </c>
      <c r="C20" s="175" t="s">
        <v>35</v>
      </c>
      <c r="D20" s="176" t="s">
        <v>853</v>
      </c>
      <c r="E20" s="175" t="s">
        <v>1</v>
      </c>
      <c r="F20" s="175"/>
      <c r="G20" s="218" t="s">
        <v>1</v>
      </c>
      <c r="H20" s="201" t="s">
        <v>855</v>
      </c>
      <c r="I20" s="218" t="s">
        <v>17</v>
      </c>
      <c r="J20" s="219" t="s">
        <v>35</v>
      </c>
      <c r="K20" s="200" t="s">
        <v>855</v>
      </c>
      <c r="L20" s="219" t="s">
        <v>1001</v>
      </c>
    </row>
    <row r="21" spans="1:12" ht="195" x14ac:dyDescent="0.3">
      <c r="A21" s="170"/>
      <c r="B21" s="190" t="s">
        <v>857</v>
      </c>
      <c r="C21" s="175" t="s">
        <v>35</v>
      </c>
      <c r="D21" s="176" t="s">
        <v>853</v>
      </c>
      <c r="E21" s="175" t="s">
        <v>1</v>
      </c>
      <c r="F21" s="175"/>
      <c r="G21" s="218" t="s">
        <v>1</v>
      </c>
      <c r="H21" s="201" t="s">
        <v>855</v>
      </c>
      <c r="I21" s="218" t="s">
        <v>17</v>
      </c>
      <c r="J21" s="219" t="s">
        <v>35</v>
      </c>
      <c r="K21" s="200" t="s">
        <v>855</v>
      </c>
      <c r="L21" s="219" t="s">
        <v>1001</v>
      </c>
    </row>
    <row r="22" spans="1:12" ht="195" x14ac:dyDescent="0.3">
      <c r="A22" s="170"/>
      <c r="B22" s="190" t="s">
        <v>858</v>
      </c>
      <c r="C22" s="175" t="s">
        <v>35</v>
      </c>
      <c r="D22" s="176" t="s">
        <v>853</v>
      </c>
      <c r="E22" s="175" t="s">
        <v>1</v>
      </c>
      <c r="F22" s="175"/>
      <c r="G22" s="218" t="s">
        <v>1</v>
      </c>
      <c r="H22" s="201" t="s">
        <v>855</v>
      </c>
      <c r="I22" s="218" t="s">
        <v>17</v>
      </c>
      <c r="J22" s="219" t="s">
        <v>35</v>
      </c>
      <c r="K22" s="200" t="s">
        <v>855</v>
      </c>
      <c r="L22" s="219" t="s">
        <v>1001</v>
      </c>
    </row>
    <row r="23" spans="1:12" ht="195" x14ac:dyDescent="0.3">
      <c r="A23" s="170"/>
      <c r="B23" s="190" t="s">
        <v>859</v>
      </c>
      <c r="C23" s="175" t="s">
        <v>35</v>
      </c>
      <c r="D23" s="176" t="s">
        <v>853</v>
      </c>
      <c r="E23" s="175" t="s">
        <v>1</v>
      </c>
      <c r="F23" s="175"/>
      <c r="G23" s="218" t="s">
        <v>1</v>
      </c>
      <c r="H23" s="201" t="s">
        <v>855</v>
      </c>
      <c r="I23" s="218" t="s">
        <v>17</v>
      </c>
      <c r="J23" s="219" t="s">
        <v>35</v>
      </c>
      <c r="K23" s="200" t="s">
        <v>855</v>
      </c>
      <c r="L23" s="219" t="s">
        <v>1001</v>
      </c>
    </row>
    <row r="24" spans="1:12" ht="195" x14ac:dyDescent="0.3">
      <c r="A24" s="170"/>
      <c r="B24" s="190" t="s">
        <v>860</v>
      </c>
      <c r="C24" s="175" t="s">
        <v>35</v>
      </c>
      <c r="D24" s="176" t="s">
        <v>853</v>
      </c>
      <c r="E24" s="175" t="s">
        <v>2</v>
      </c>
      <c r="F24" s="175"/>
      <c r="G24" s="218" t="s">
        <v>2</v>
      </c>
      <c r="H24" s="201" t="s">
        <v>855</v>
      </c>
      <c r="I24" s="218" t="s">
        <v>17</v>
      </c>
      <c r="J24" s="219" t="s">
        <v>35</v>
      </c>
      <c r="K24" s="200" t="s">
        <v>855</v>
      </c>
      <c r="L24" s="219" t="s">
        <v>1001</v>
      </c>
    </row>
    <row r="25" spans="1:12" ht="195" x14ac:dyDescent="0.3">
      <c r="A25" s="170"/>
      <c r="B25" s="190" t="s">
        <v>861</v>
      </c>
      <c r="C25" s="175" t="s">
        <v>35</v>
      </c>
      <c r="D25" s="176" t="s">
        <v>853</v>
      </c>
      <c r="E25" s="175" t="s">
        <v>1</v>
      </c>
      <c r="F25" s="175"/>
      <c r="G25" s="218" t="s">
        <v>1</v>
      </c>
      <c r="H25" s="201" t="s">
        <v>855</v>
      </c>
      <c r="I25" s="218" t="s">
        <v>17</v>
      </c>
      <c r="J25" s="219" t="s">
        <v>35</v>
      </c>
      <c r="K25" s="200" t="s">
        <v>855</v>
      </c>
      <c r="L25" s="219" t="s">
        <v>1001</v>
      </c>
    </row>
    <row r="26" spans="1:12" ht="195" x14ac:dyDescent="0.3">
      <c r="A26" s="170"/>
      <c r="B26" s="190" t="s">
        <v>862</v>
      </c>
      <c r="C26" s="175" t="s">
        <v>35</v>
      </c>
      <c r="D26" s="176" t="s">
        <v>853</v>
      </c>
      <c r="E26" s="175" t="s">
        <v>1</v>
      </c>
      <c r="F26" s="175"/>
      <c r="G26" s="218" t="s">
        <v>1</v>
      </c>
      <c r="H26" s="201" t="s">
        <v>855</v>
      </c>
      <c r="I26" s="218" t="s">
        <v>17</v>
      </c>
      <c r="J26" s="219" t="s">
        <v>35</v>
      </c>
      <c r="K26" s="200" t="s">
        <v>855</v>
      </c>
      <c r="L26" s="219" t="s">
        <v>1001</v>
      </c>
    </row>
    <row r="27" spans="1:12" ht="195" x14ac:dyDescent="0.3">
      <c r="A27" s="170"/>
      <c r="B27" s="190" t="s">
        <v>863</v>
      </c>
      <c r="C27" s="175" t="s">
        <v>35</v>
      </c>
      <c r="D27" s="176" t="s">
        <v>853</v>
      </c>
      <c r="E27" s="175" t="s">
        <v>1</v>
      </c>
      <c r="F27" s="175"/>
      <c r="G27" s="218" t="s">
        <v>1</v>
      </c>
      <c r="H27" s="201" t="s">
        <v>855</v>
      </c>
      <c r="I27" s="218" t="s">
        <v>17</v>
      </c>
      <c r="J27" s="219" t="s">
        <v>35</v>
      </c>
      <c r="K27" s="200" t="s">
        <v>855</v>
      </c>
      <c r="L27" s="219" t="s">
        <v>1001</v>
      </c>
    </row>
    <row r="28" spans="1:12" ht="195" x14ac:dyDescent="0.3">
      <c r="A28" s="170"/>
      <c r="B28" s="190" t="s">
        <v>864</v>
      </c>
      <c r="C28" s="175" t="s">
        <v>35</v>
      </c>
      <c r="D28" s="176" t="s">
        <v>853</v>
      </c>
      <c r="E28" s="175" t="s">
        <v>2</v>
      </c>
      <c r="F28" s="175"/>
      <c r="G28" s="218" t="s">
        <v>2</v>
      </c>
      <c r="H28" s="201" t="s">
        <v>855</v>
      </c>
      <c r="I28" s="218" t="s">
        <v>17</v>
      </c>
      <c r="J28" s="219" t="s">
        <v>35</v>
      </c>
      <c r="K28" s="200" t="s">
        <v>855</v>
      </c>
      <c r="L28" s="219" t="s">
        <v>1001</v>
      </c>
    </row>
    <row r="29" spans="1:12" ht="195" x14ac:dyDescent="0.3">
      <c r="A29" s="170"/>
      <c r="B29" s="190" t="s">
        <v>865</v>
      </c>
      <c r="C29" s="175" t="s">
        <v>35</v>
      </c>
      <c r="D29" s="176" t="s">
        <v>853</v>
      </c>
      <c r="E29" s="175" t="s">
        <v>1</v>
      </c>
      <c r="F29" s="175"/>
      <c r="G29" s="218" t="s">
        <v>1</v>
      </c>
      <c r="H29" s="201" t="s">
        <v>855</v>
      </c>
      <c r="I29" s="218" t="s">
        <v>17</v>
      </c>
      <c r="J29" s="219" t="s">
        <v>35</v>
      </c>
      <c r="K29" s="200" t="s">
        <v>855</v>
      </c>
      <c r="L29" s="219" t="s">
        <v>1001</v>
      </c>
    </row>
    <row r="30" spans="1:12" ht="195" x14ac:dyDescent="0.3">
      <c r="A30" s="170"/>
      <c r="B30" s="190" t="s">
        <v>866</v>
      </c>
      <c r="C30" s="175" t="s">
        <v>35</v>
      </c>
      <c r="D30" s="176" t="s">
        <v>853</v>
      </c>
      <c r="E30" s="175" t="s">
        <v>2</v>
      </c>
      <c r="F30" s="175"/>
      <c r="G30" s="218" t="s">
        <v>2</v>
      </c>
      <c r="H30" s="201" t="s">
        <v>855</v>
      </c>
      <c r="I30" s="218" t="s">
        <v>17</v>
      </c>
      <c r="J30" s="219" t="s">
        <v>35</v>
      </c>
      <c r="K30" s="200" t="s">
        <v>855</v>
      </c>
      <c r="L30" s="219" t="s">
        <v>1001</v>
      </c>
    </row>
    <row r="31" spans="1:12" ht="195" x14ac:dyDescent="0.3">
      <c r="A31" s="170"/>
      <c r="B31" s="190" t="s">
        <v>867</v>
      </c>
      <c r="C31" s="175" t="s">
        <v>35</v>
      </c>
      <c r="D31" s="176" t="s">
        <v>853</v>
      </c>
      <c r="E31" s="175" t="s">
        <v>1</v>
      </c>
      <c r="F31" s="175"/>
      <c r="G31" s="218" t="s">
        <v>1</v>
      </c>
      <c r="H31" s="201" t="s">
        <v>855</v>
      </c>
      <c r="I31" s="218" t="s">
        <v>17</v>
      </c>
      <c r="J31" s="219" t="s">
        <v>35</v>
      </c>
      <c r="K31" s="200" t="s">
        <v>855</v>
      </c>
      <c r="L31" s="219" t="s">
        <v>1001</v>
      </c>
    </row>
    <row r="32" spans="1:12" ht="195" x14ac:dyDescent="0.3">
      <c r="A32" s="170"/>
      <c r="B32" s="190" t="s">
        <v>868</v>
      </c>
      <c r="C32" s="175" t="s">
        <v>35</v>
      </c>
      <c r="D32" s="176" t="s">
        <v>853</v>
      </c>
      <c r="E32" s="175" t="s">
        <v>1</v>
      </c>
      <c r="F32" s="175"/>
      <c r="G32" s="218" t="s">
        <v>1</v>
      </c>
      <c r="H32" s="201" t="s">
        <v>855</v>
      </c>
      <c r="I32" s="218" t="s">
        <v>17</v>
      </c>
      <c r="J32" s="219" t="s">
        <v>35</v>
      </c>
      <c r="K32" s="200" t="s">
        <v>855</v>
      </c>
      <c r="L32" s="219" t="s">
        <v>1001</v>
      </c>
    </row>
    <row r="33" spans="1:12" ht="195" x14ac:dyDescent="0.3">
      <c r="A33" s="170"/>
      <c r="B33" s="190" t="s">
        <v>869</v>
      </c>
      <c r="C33" s="175" t="s">
        <v>35</v>
      </c>
      <c r="D33" s="176" t="s">
        <v>853</v>
      </c>
      <c r="E33" s="175" t="s">
        <v>1</v>
      </c>
      <c r="F33" s="175"/>
      <c r="G33" s="218" t="s">
        <v>1</v>
      </c>
      <c r="H33" s="201" t="s">
        <v>855</v>
      </c>
      <c r="I33" s="218" t="s">
        <v>17</v>
      </c>
      <c r="J33" s="219" t="s">
        <v>35</v>
      </c>
      <c r="K33" s="200" t="s">
        <v>855</v>
      </c>
      <c r="L33" s="219" t="s">
        <v>1001</v>
      </c>
    </row>
    <row r="34" spans="1:12" ht="195" x14ac:dyDescent="0.3">
      <c r="A34" s="170"/>
      <c r="B34" s="190" t="s">
        <v>870</v>
      </c>
      <c r="C34" s="175" t="s">
        <v>35</v>
      </c>
      <c r="D34" s="176" t="s">
        <v>853</v>
      </c>
      <c r="E34" s="175" t="s">
        <v>1</v>
      </c>
      <c r="F34" s="175"/>
      <c r="G34" s="218" t="s">
        <v>1</v>
      </c>
      <c r="H34" s="201" t="s">
        <v>855</v>
      </c>
      <c r="I34" s="218" t="s">
        <v>17</v>
      </c>
      <c r="J34" s="219" t="s">
        <v>35</v>
      </c>
      <c r="K34" s="200" t="s">
        <v>855</v>
      </c>
      <c r="L34" s="219" t="s">
        <v>1001</v>
      </c>
    </row>
    <row r="35" spans="1:12" ht="195" x14ac:dyDescent="0.3">
      <c r="A35" s="170"/>
      <c r="B35" s="190" t="s">
        <v>871</v>
      </c>
      <c r="C35" s="175" t="s">
        <v>35</v>
      </c>
      <c r="D35" s="176" t="s">
        <v>853</v>
      </c>
      <c r="E35" s="175" t="s">
        <v>1</v>
      </c>
      <c r="F35" s="175"/>
      <c r="G35" s="218" t="s">
        <v>1</v>
      </c>
      <c r="H35" s="201" t="s">
        <v>855</v>
      </c>
      <c r="I35" s="218" t="s">
        <v>17</v>
      </c>
      <c r="J35" s="219" t="s">
        <v>35</v>
      </c>
      <c r="K35" s="200" t="s">
        <v>855</v>
      </c>
      <c r="L35" s="219" t="s">
        <v>1001</v>
      </c>
    </row>
    <row r="36" spans="1:12" ht="195" x14ac:dyDescent="0.3">
      <c r="A36" s="170"/>
      <c r="B36" s="190" t="s">
        <v>872</v>
      </c>
      <c r="C36" s="175" t="s">
        <v>35</v>
      </c>
      <c r="D36" s="176" t="s">
        <v>853</v>
      </c>
      <c r="E36" s="175" t="s">
        <v>2</v>
      </c>
      <c r="F36" s="175"/>
      <c r="G36" s="218" t="s">
        <v>2</v>
      </c>
      <c r="H36" s="201" t="s">
        <v>855</v>
      </c>
      <c r="I36" s="218" t="s">
        <v>17</v>
      </c>
      <c r="J36" s="219" t="s">
        <v>35</v>
      </c>
      <c r="K36" s="200" t="s">
        <v>855</v>
      </c>
      <c r="L36" s="219" t="s">
        <v>1001</v>
      </c>
    </row>
    <row r="37" spans="1:12" ht="195" x14ac:dyDescent="0.3">
      <c r="A37" s="170"/>
      <c r="B37" s="190" t="s">
        <v>873</v>
      </c>
      <c r="C37" s="175" t="s">
        <v>35</v>
      </c>
      <c r="D37" s="176" t="s">
        <v>853</v>
      </c>
      <c r="E37" s="175" t="s">
        <v>1</v>
      </c>
      <c r="F37" s="175"/>
      <c r="G37" s="218" t="s">
        <v>1</v>
      </c>
      <c r="H37" s="201" t="s">
        <v>855</v>
      </c>
      <c r="I37" s="218" t="s">
        <v>17</v>
      </c>
      <c r="J37" s="219" t="s">
        <v>35</v>
      </c>
      <c r="K37" s="200" t="s">
        <v>855</v>
      </c>
      <c r="L37" s="219" t="s">
        <v>1001</v>
      </c>
    </row>
    <row r="38" spans="1:12" ht="195" x14ac:dyDescent="0.3">
      <c r="A38" s="170"/>
      <c r="B38" s="190" t="s">
        <v>874</v>
      </c>
      <c r="C38" s="175" t="s">
        <v>35</v>
      </c>
      <c r="D38" s="176" t="s">
        <v>853</v>
      </c>
      <c r="E38" s="175" t="s">
        <v>2</v>
      </c>
      <c r="F38" s="175"/>
      <c r="G38" s="218" t="s">
        <v>2</v>
      </c>
      <c r="H38" s="201" t="s">
        <v>855</v>
      </c>
      <c r="I38" s="218" t="s">
        <v>17</v>
      </c>
      <c r="J38" s="219" t="s">
        <v>35</v>
      </c>
      <c r="K38" s="200" t="s">
        <v>855</v>
      </c>
      <c r="L38" s="219" t="s">
        <v>1001</v>
      </c>
    </row>
    <row r="39" spans="1:12" ht="195" x14ac:dyDescent="0.3">
      <c r="A39" s="170"/>
      <c r="B39" s="190" t="s">
        <v>875</v>
      </c>
      <c r="C39" s="175" t="s">
        <v>35</v>
      </c>
      <c r="D39" s="176" t="s">
        <v>853</v>
      </c>
      <c r="E39" s="175" t="s">
        <v>2</v>
      </c>
      <c r="F39" s="175"/>
      <c r="G39" s="218" t="s">
        <v>2</v>
      </c>
      <c r="H39" s="201" t="s">
        <v>855</v>
      </c>
      <c r="I39" s="218" t="s">
        <v>17</v>
      </c>
      <c r="J39" s="219" t="s">
        <v>35</v>
      </c>
      <c r="K39" s="200" t="s">
        <v>855</v>
      </c>
      <c r="L39" s="219" t="s">
        <v>1001</v>
      </c>
    </row>
    <row r="40" spans="1:12" ht="195" x14ac:dyDescent="0.3">
      <c r="A40" s="170"/>
      <c r="B40" s="190" t="s">
        <v>876</v>
      </c>
      <c r="C40" s="175" t="s">
        <v>35</v>
      </c>
      <c r="D40" s="176" t="s">
        <v>853</v>
      </c>
      <c r="E40" s="175" t="s">
        <v>1</v>
      </c>
      <c r="F40" s="175"/>
      <c r="G40" s="218" t="s">
        <v>1</v>
      </c>
      <c r="H40" s="201" t="s">
        <v>855</v>
      </c>
      <c r="I40" s="218" t="s">
        <v>17</v>
      </c>
      <c r="J40" s="219" t="s">
        <v>35</v>
      </c>
      <c r="K40" s="200" t="s">
        <v>855</v>
      </c>
      <c r="L40" s="219" t="s">
        <v>1001</v>
      </c>
    </row>
    <row r="41" spans="1:12" ht="195" x14ac:dyDescent="0.3">
      <c r="A41" s="170"/>
      <c r="B41" s="190" t="s">
        <v>877</v>
      </c>
      <c r="C41" s="175" t="s">
        <v>35</v>
      </c>
      <c r="D41" s="176" t="s">
        <v>853</v>
      </c>
      <c r="E41" s="175" t="s">
        <v>1</v>
      </c>
      <c r="F41" s="175"/>
      <c r="G41" s="218" t="s">
        <v>1</v>
      </c>
      <c r="H41" s="201" t="s">
        <v>855</v>
      </c>
      <c r="I41" s="218" t="s">
        <v>17</v>
      </c>
      <c r="J41" s="219" t="s">
        <v>35</v>
      </c>
      <c r="K41" s="200" t="s">
        <v>855</v>
      </c>
      <c r="L41" s="219" t="s">
        <v>1001</v>
      </c>
    </row>
    <row r="42" spans="1:12" ht="195" x14ac:dyDescent="0.3">
      <c r="A42" s="170"/>
      <c r="B42" s="190" t="s">
        <v>878</v>
      </c>
      <c r="C42" s="175" t="s">
        <v>35</v>
      </c>
      <c r="D42" s="176" t="s">
        <v>853</v>
      </c>
      <c r="E42" s="175" t="s">
        <v>1</v>
      </c>
      <c r="F42" s="175"/>
      <c r="G42" s="218" t="s">
        <v>1</v>
      </c>
      <c r="H42" s="201" t="s">
        <v>855</v>
      </c>
      <c r="I42" s="218" t="s">
        <v>17</v>
      </c>
      <c r="J42" s="219" t="s">
        <v>35</v>
      </c>
      <c r="K42" s="200" t="s">
        <v>855</v>
      </c>
      <c r="L42" s="219" t="s">
        <v>1001</v>
      </c>
    </row>
    <row r="43" spans="1:12" ht="195" x14ac:dyDescent="0.3">
      <c r="A43" s="170"/>
      <c r="B43" s="190" t="s">
        <v>879</v>
      </c>
      <c r="C43" s="175" t="s">
        <v>35</v>
      </c>
      <c r="D43" s="176" t="s">
        <v>853</v>
      </c>
      <c r="E43" s="175" t="s">
        <v>1</v>
      </c>
      <c r="F43" s="175"/>
      <c r="G43" s="218" t="s">
        <v>1</v>
      </c>
      <c r="H43" s="201" t="s">
        <v>855</v>
      </c>
      <c r="I43" s="218" t="s">
        <v>17</v>
      </c>
      <c r="J43" s="219" t="s">
        <v>35</v>
      </c>
      <c r="K43" s="200" t="s">
        <v>855</v>
      </c>
      <c r="L43" s="219" t="s">
        <v>1001</v>
      </c>
    </row>
    <row r="44" spans="1:12" ht="195" x14ac:dyDescent="0.3">
      <c r="A44" s="170"/>
      <c r="B44" s="190" t="s">
        <v>880</v>
      </c>
      <c r="C44" s="175" t="s">
        <v>35</v>
      </c>
      <c r="D44" s="176" t="s">
        <v>853</v>
      </c>
      <c r="E44" s="175" t="s">
        <v>1</v>
      </c>
      <c r="F44" s="175"/>
      <c r="G44" s="218" t="s">
        <v>1</v>
      </c>
      <c r="H44" s="201" t="s">
        <v>855</v>
      </c>
      <c r="I44" s="218" t="s">
        <v>17</v>
      </c>
      <c r="J44" s="219" t="s">
        <v>35</v>
      </c>
      <c r="K44" s="200" t="s">
        <v>855</v>
      </c>
      <c r="L44" s="219" t="s">
        <v>1001</v>
      </c>
    </row>
    <row r="45" spans="1:12" ht="195" x14ac:dyDescent="0.3">
      <c r="A45" s="170"/>
      <c r="B45" s="190" t="s">
        <v>881</v>
      </c>
      <c r="C45" s="175" t="s">
        <v>35</v>
      </c>
      <c r="D45" s="176" t="s">
        <v>853</v>
      </c>
      <c r="E45" s="175" t="s">
        <v>1</v>
      </c>
      <c r="F45" s="175"/>
      <c r="G45" s="218" t="s">
        <v>1</v>
      </c>
      <c r="H45" s="201" t="s">
        <v>855</v>
      </c>
      <c r="I45" s="218" t="s">
        <v>17</v>
      </c>
      <c r="J45" s="219" t="s">
        <v>35</v>
      </c>
      <c r="K45" s="200" t="s">
        <v>855</v>
      </c>
      <c r="L45" s="219" t="s">
        <v>1001</v>
      </c>
    </row>
    <row r="46" spans="1:12" ht="195" x14ac:dyDescent="0.3">
      <c r="A46" s="170"/>
      <c r="B46" s="190" t="s">
        <v>882</v>
      </c>
      <c r="C46" s="175" t="s">
        <v>35</v>
      </c>
      <c r="D46" s="176" t="s">
        <v>853</v>
      </c>
      <c r="E46" s="175" t="s">
        <v>1</v>
      </c>
      <c r="F46" s="175"/>
      <c r="G46" s="218" t="s">
        <v>1</v>
      </c>
      <c r="H46" s="201" t="s">
        <v>855</v>
      </c>
      <c r="I46" s="218" t="s">
        <v>17</v>
      </c>
      <c r="J46" s="219" t="s">
        <v>35</v>
      </c>
      <c r="K46" s="200" t="s">
        <v>855</v>
      </c>
      <c r="L46" s="219" t="s">
        <v>1001</v>
      </c>
    </row>
    <row r="47" spans="1:12" ht="195" x14ac:dyDescent="0.3">
      <c r="A47" s="170"/>
      <c r="B47" s="190" t="s">
        <v>883</v>
      </c>
      <c r="C47" s="175" t="s">
        <v>35</v>
      </c>
      <c r="D47" s="176" t="s">
        <v>853</v>
      </c>
      <c r="E47" s="175" t="s">
        <v>2</v>
      </c>
      <c r="F47" s="175"/>
      <c r="G47" s="218" t="s">
        <v>2</v>
      </c>
      <c r="H47" s="201" t="s">
        <v>855</v>
      </c>
      <c r="I47" s="218" t="s">
        <v>17</v>
      </c>
      <c r="J47" s="219" t="s">
        <v>35</v>
      </c>
      <c r="K47" s="200" t="s">
        <v>855</v>
      </c>
      <c r="L47" s="219" t="s">
        <v>1001</v>
      </c>
    </row>
    <row r="48" spans="1:12" ht="195" x14ac:dyDescent="0.3">
      <c r="A48" s="170"/>
      <c r="B48" s="190" t="s">
        <v>884</v>
      </c>
      <c r="C48" s="175" t="s">
        <v>35</v>
      </c>
      <c r="D48" s="176" t="s">
        <v>853</v>
      </c>
      <c r="E48" s="175" t="s">
        <v>1</v>
      </c>
      <c r="F48" s="175"/>
      <c r="G48" s="218" t="s">
        <v>1</v>
      </c>
      <c r="H48" s="201" t="s">
        <v>855</v>
      </c>
      <c r="I48" s="218" t="s">
        <v>17</v>
      </c>
      <c r="J48" s="219" t="s">
        <v>35</v>
      </c>
      <c r="K48" s="200" t="s">
        <v>855</v>
      </c>
      <c r="L48" s="219" t="s">
        <v>1001</v>
      </c>
    </row>
    <row r="49" spans="1:12" ht="195" x14ac:dyDescent="0.3">
      <c r="A49" s="170"/>
      <c r="B49" s="190" t="s">
        <v>885</v>
      </c>
      <c r="C49" s="175" t="s">
        <v>35</v>
      </c>
      <c r="D49" s="176" t="s">
        <v>853</v>
      </c>
      <c r="E49" s="175" t="s">
        <v>1</v>
      </c>
      <c r="F49" s="175"/>
      <c r="G49" s="218" t="s">
        <v>1</v>
      </c>
      <c r="H49" s="201" t="s">
        <v>855</v>
      </c>
      <c r="I49" s="218" t="s">
        <v>17</v>
      </c>
      <c r="J49" s="219" t="s">
        <v>35</v>
      </c>
      <c r="K49" s="200" t="s">
        <v>855</v>
      </c>
      <c r="L49" s="219" t="s">
        <v>1001</v>
      </c>
    </row>
    <row r="50" spans="1:12" ht="195" x14ac:dyDescent="0.3">
      <c r="A50" s="170"/>
      <c r="B50" s="190" t="s">
        <v>886</v>
      </c>
      <c r="C50" s="175" t="s">
        <v>35</v>
      </c>
      <c r="D50" s="176" t="s">
        <v>853</v>
      </c>
      <c r="E50" s="175" t="s">
        <v>2</v>
      </c>
      <c r="F50" s="175"/>
      <c r="G50" s="218" t="s">
        <v>2</v>
      </c>
      <c r="H50" s="201" t="s">
        <v>855</v>
      </c>
      <c r="I50" s="218" t="s">
        <v>17</v>
      </c>
      <c r="J50" s="219" t="s">
        <v>35</v>
      </c>
      <c r="K50" s="200" t="s">
        <v>855</v>
      </c>
      <c r="L50" s="219" t="s">
        <v>1001</v>
      </c>
    </row>
    <row r="51" spans="1:12" ht="195" x14ac:dyDescent="0.3">
      <c r="A51" s="170"/>
      <c r="B51" s="190" t="s">
        <v>887</v>
      </c>
      <c r="C51" s="175" t="s">
        <v>35</v>
      </c>
      <c r="D51" s="176" t="s">
        <v>853</v>
      </c>
      <c r="E51" s="175" t="s">
        <v>1</v>
      </c>
      <c r="F51" s="175"/>
      <c r="G51" s="218" t="s">
        <v>1</v>
      </c>
      <c r="H51" s="201" t="s">
        <v>855</v>
      </c>
      <c r="I51" s="218" t="s">
        <v>17</v>
      </c>
      <c r="J51" s="219" t="s">
        <v>35</v>
      </c>
      <c r="K51" s="200" t="s">
        <v>855</v>
      </c>
      <c r="L51" s="219" t="s">
        <v>1001</v>
      </c>
    </row>
    <row r="52" spans="1:12" ht="195" x14ac:dyDescent="0.3">
      <c r="A52" s="170"/>
      <c r="B52" s="190" t="s">
        <v>888</v>
      </c>
      <c r="C52" s="175" t="s">
        <v>35</v>
      </c>
      <c r="D52" s="176" t="s">
        <v>853</v>
      </c>
      <c r="E52" s="175" t="s">
        <v>1</v>
      </c>
      <c r="F52" s="175"/>
      <c r="G52" s="218" t="s">
        <v>1</v>
      </c>
      <c r="H52" s="201" t="s">
        <v>855</v>
      </c>
      <c r="I52" s="218" t="s">
        <v>17</v>
      </c>
      <c r="J52" s="219" t="s">
        <v>35</v>
      </c>
      <c r="K52" s="200" t="s">
        <v>855</v>
      </c>
      <c r="L52" s="219" t="s">
        <v>1001</v>
      </c>
    </row>
    <row r="53" spans="1:12" ht="195" x14ac:dyDescent="0.3">
      <c r="A53" s="170"/>
      <c r="B53" s="190" t="s">
        <v>889</v>
      </c>
      <c r="C53" s="175" t="s">
        <v>35</v>
      </c>
      <c r="D53" s="176" t="s">
        <v>853</v>
      </c>
      <c r="E53" s="175" t="s">
        <v>1</v>
      </c>
      <c r="F53" s="175"/>
      <c r="G53" s="218" t="s">
        <v>1</v>
      </c>
      <c r="H53" s="201" t="s">
        <v>855</v>
      </c>
      <c r="I53" s="218" t="s">
        <v>17</v>
      </c>
      <c r="J53" s="219" t="s">
        <v>35</v>
      </c>
      <c r="K53" s="200" t="s">
        <v>855</v>
      </c>
      <c r="L53" s="219" t="s">
        <v>1001</v>
      </c>
    </row>
    <row r="54" spans="1:12" ht="195" x14ac:dyDescent="0.3">
      <c r="A54" s="170"/>
      <c r="B54" s="190" t="s">
        <v>890</v>
      </c>
      <c r="C54" s="175" t="s">
        <v>35</v>
      </c>
      <c r="D54" s="176" t="s">
        <v>853</v>
      </c>
      <c r="E54" s="175" t="s">
        <v>1</v>
      </c>
      <c r="F54" s="175"/>
      <c r="G54" s="218" t="s">
        <v>1</v>
      </c>
      <c r="H54" s="201" t="s">
        <v>855</v>
      </c>
      <c r="I54" s="218" t="s">
        <v>17</v>
      </c>
      <c r="J54" s="219" t="s">
        <v>35</v>
      </c>
      <c r="K54" s="200" t="s">
        <v>855</v>
      </c>
      <c r="L54" s="219" t="s">
        <v>1001</v>
      </c>
    </row>
    <row r="55" spans="1:12" ht="195" x14ac:dyDescent="0.3">
      <c r="A55" s="170"/>
      <c r="B55" s="190" t="s">
        <v>891</v>
      </c>
      <c r="C55" s="175" t="s">
        <v>35</v>
      </c>
      <c r="D55" s="176" t="s">
        <v>853</v>
      </c>
      <c r="E55" s="175" t="s">
        <v>1</v>
      </c>
      <c r="F55" s="175"/>
      <c r="G55" s="218" t="s">
        <v>1</v>
      </c>
      <c r="H55" s="201" t="s">
        <v>855</v>
      </c>
      <c r="I55" s="218" t="s">
        <v>17</v>
      </c>
      <c r="J55" s="219" t="s">
        <v>35</v>
      </c>
      <c r="K55" s="200" t="s">
        <v>855</v>
      </c>
      <c r="L55" s="219" t="s">
        <v>1001</v>
      </c>
    </row>
    <row r="56" spans="1:12" s="20" customFormat="1" ht="15.6" x14ac:dyDescent="0.3">
      <c r="A56" s="31"/>
      <c r="B56" s="80" t="s">
        <v>892</v>
      </c>
      <c r="C56" s="33" t="s">
        <v>37</v>
      </c>
      <c r="D56" s="44" t="s">
        <v>853</v>
      </c>
      <c r="E56" s="33" t="s">
        <v>2</v>
      </c>
      <c r="F56" s="33"/>
      <c r="G56" s="46" t="s">
        <v>36</v>
      </c>
      <c r="H56" s="47"/>
      <c r="I56" s="46" t="s">
        <v>17</v>
      </c>
      <c r="J56" s="74"/>
      <c r="K56" s="74"/>
      <c r="L56" s="74" t="s">
        <v>1001</v>
      </c>
    </row>
    <row r="57" spans="1:12" ht="195" x14ac:dyDescent="0.3">
      <c r="A57" s="170"/>
      <c r="B57" s="190" t="s">
        <v>893</v>
      </c>
      <c r="C57" s="175" t="s">
        <v>35</v>
      </c>
      <c r="D57" s="176" t="s">
        <v>853</v>
      </c>
      <c r="E57" s="175" t="s">
        <v>1</v>
      </c>
      <c r="F57" s="175"/>
      <c r="G57" s="218" t="s">
        <v>1</v>
      </c>
      <c r="H57" s="201" t="s">
        <v>855</v>
      </c>
      <c r="I57" s="218" t="s">
        <v>17</v>
      </c>
      <c r="J57" s="219" t="s">
        <v>35</v>
      </c>
      <c r="K57" s="200" t="s">
        <v>855</v>
      </c>
      <c r="L57" s="219" t="s">
        <v>1001</v>
      </c>
    </row>
    <row r="58" spans="1:12" s="20" customFormat="1" ht="15.6" x14ac:dyDescent="0.3">
      <c r="A58" s="31"/>
      <c r="B58" s="80" t="s">
        <v>894</v>
      </c>
      <c r="C58" s="33" t="s">
        <v>37</v>
      </c>
      <c r="D58" s="44" t="s">
        <v>853</v>
      </c>
      <c r="E58" s="33" t="s">
        <v>2</v>
      </c>
      <c r="F58" s="33"/>
      <c r="G58" s="46" t="s">
        <v>36</v>
      </c>
      <c r="H58" s="47"/>
      <c r="I58" s="46" t="s">
        <v>17</v>
      </c>
      <c r="J58" s="74"/>
      <c r="K58" s="74"/>
      <c r="L58" s="74" t="s">
        <v>1001</v>
      </c>
    </row>
    <row r="59" spans="1:12" ht="195" x14ac:dyDescent="0.3">
      <c r="A59" s="170"/>
      <c r="B59" s="190" t="s">
        <v>895</v>
      </c>
      <c r="C59" s="175" t="s">
        <v>35</v>
      </c>
      <c r="D59" s="176" t="s">
        <v>853</v>
      </c>
      <c r="E59" s="175" t="s">
        <v>2</v>
      </c>
      <c r="F59" s="175"/>
      <c r="G59" s="218" t="s">
        <v>2</v>
      </c>
      <c r="H59" s="201" t="s">
        <v>855</v>
      </c>
      <c r="I59" s="218" t="s">
        <v>17</v>
      </c>
      <c r="J59" s="219" t="s">
        <v>35</v>
      </c>
      <c r="K59" s="200" t="s">
        <v>855</v>
      </c>
      <c r="L59" s="219" t="s">
        <v>1001</v>
      </c>
    </row>
    <row r="60" spans="1:12" ht="195" x14ac:dyDescent="0.3">
      <c r="A60" s="170"/>
      <c r="B60" s="190" t="s">
        <v>896</v>
      </c>
      <c r="C60" s="175" t="s">
        <v>35</v>
      </c>
      <c r="D60" s="176" t="s">
        <v>853</v>
      </c>
      <c r="E60" s="175" t="s">
        <v>1</v>
      </c>
      <c r="F60" s="175"/>
      <c r="G60" s="218" t="s">
        <v>1</v>
      </c>
      <c r="H60" s="201" t="s">
        <v>855</v>
      </c>
      <c r="I60" s="218" t="s">
        <v>17</v>
      </c>
      <c r="J60" s="219" t="s">
        <v>35</v>
      </c>
      <c r="K60" s="200" t="s">
        <v>855</v>
      </c>
      <c r="L60" s="219" t="s">
        <v>1001</v>
      </c>
    </row>
    <row r="61" spans="1:12" ht="195" x14ac:dyDescent="0.3">
      <c r="A61" s="170"/>
      <c r="B61" s="190" t="s">
        <v>861</v>
      </c>
      <c r="C61" s="175" t="s">
        <v>35</v>
      </c>
      <c r="D61" s="176" t="s">
        <v>853</v>
      </c>
      <c r="E61" s="175" t="s">
        <v>1</v>
      </c>
      <c r="F61" s="175"/>
      <c r="G61" s="218" t="s">
        <v>1</v>
      </c>
      <c r="H61" s="201" t="s">
        <v>855</v>
      </c>
      <c r="I61" s="218" t="s">
        <v>17</v>
      </c>
      <c r="J61" s="219" t="s">
        <v>35</v>
      </c>
      <c r="K61" s="200" t="s">
        <v>855</v>
      </c>
      <c r="L61" s="219" t="s">
        <v>1001</v>
      </c>
    </row>
    <row r="62" spans="1:12" ht="195" x14ac:dyDescent="0.3">
      <c r="A62" s="170"/>
      <c r="B62" s="190" t="s">
        <v>897</v>
      </c>
      <c r="C62" s="175" t="s">
        <v>35</v>
      </c>
      <c r="D62" s="176" t="s">
        <v>853</v>
      </c>
      <c r="E62" s="175" t="s">
        <v>1</v>
      </c>
      <c r="F62" s="175"/>
      <c r="G62" s="218" t="s">
        <v>1</v>
      </c>
      <c r="H62" s="201" t="s">
        <v>855</v>
      </c>
      <c r="I62" s="218" t="s">
        <v>17</v>
      </c>
      <c r="J62" s="219" t="s">
        <v>35</v>
      </c>
      <c r="K62" s="200" t="s">
        <v>855</v>
      </c>
      <c r="L62" s="219" t="s">
        <v>1001</v>
      </c>
    </row>
    <row r="63" spans="1:12" ht="195" x14ac:dyDescent="0.3">
      <c r="A63" s="170"/>
      <c r="B63" s="190" t="s">
        <v>898</v>
      </c>
      <c r="C63" s="175" t="s">
        <v>35</v>
      </c>
      <c r="D63" s="176" t="s">
        <v>853</v>
      </c>
      <c r="E63" s="175" t="s">
        <v>1</v>
      </c>
      <c r="F63" s="175"/>
      <c r="G63" s="218" t="s">
        <v>1</v>
      </c>
      <c r="H63" s="201" t="s">
        <v>855</v>
      </c>
      <c r="I63" s="218" t="s">
        <v>17</v>
      </c>
      <c r="J63" s="219" t="s">
        <v>35</v>
      </c>
      <c r="K63" s="200" t="s">
        <v>855</v>
      </c>
      <c r="L63" s="219" t="s">
        <v>1001</v>
      </c>
    </row>
    <row r="64" spans="1:12" ht="195" x14ac:dyDescent="0.3">
      <c r="A64" s="170"/>
      <c r="B64" s="190" t="s">
        <v>899</v>
      </c>
      <c r="C64" s="175" t="s">
        <v>35</v>
      </c>
      <c r="D64" s="176" t="s">
        <v>853</v>
      </c>
      <c r="E64" s="175" t="s">
        <v>1</v>
      </c>
      <c r="F64" s="175"/>
      <c r="G64" s="218" t="s">
        <v>1</v>
      </c>
      <c r="H64" s="201" t="s">
        <v>855</v>
      </c>
      <c r="I64" s="218" t="s">
        <v>17</v>
      </c>
      <c r="J64" s="219" t="s">
        <v>35</v>
      </c>
      <c r="K64" s="200" t="s">
        <v>855</v>
      </c>
      <c r="L64" s="219" t="s">
        <v>1001</v>
      </c>
    </row>
    <row r="65" spans="1:12" ht="195" x14ac:dyDescent="0.3">
      <c r="A65" s="170"/>
      <c r="B65" s="190" t="s">
        <v>900</v>
      </c>
      <c r="C65" s="175" t="s">
        <v>35</v>
      </c>
      <c r="D65" s="176" t="s">
        <v>853</v>
      </c>
      <c r="E65" s="175" t="s">
        <v>1</v>
      </c>
      <c r="F65" s="175"/>
      <c r="G65" s="218" t="s">
        <v>1</v>
      </c>
      <c r="H65" s="201" t="s">
        <v>855</v>
      </c>
      <c r="I65" s="218" t="s">
        <v>17</v>
      </c>
      <c r="J65" s="219" t="s">
        <v>35</v>
      </c>
      <c r="K65" s="200" t="s">
        <v>855</v>
      </c>
      <c r="L65" s="219" t="s">
        <v>1001</v>
      </c>
    </row>
    <row r="66" spans="1:12" s="20" customFormat="1" ht="15.6" x14ac:dyDescent="0.3">
      <c r="A66" s="31"/>
      <c r="B66" s="80" t="s">
        <v>901</v>
      </c>
      <c r="C66" s="33" t="s">
        <v>37</v>
      </c>
      <c r="D66" s="44" t="s">
        <v>853</v>
      </c>
      <c r="E66" s="33" t="s">
        <v>2</v>
      </c>
      <c r="F66" s="33"/>
      <c r="G66" s="46" t="s">
        <v>36</v>
      </c>
      <c r="H66" s="47"/>
      <c r="I66" s="46" t="s">
        <v>17</v>
      </c>
      <c r="J66" s="74"/>
      <c r="K66" s="74"/>
      <c r="L66" s="74" t="s">
        <v>1001</v>
      </c>
    </row>
    <row r="67" spans="1:12" ht="195" x14ac:dyDescent="0.3">
      <c r="A67" s="170"/>
      <c r="B67" s="190" t="s">
        <v>902</v>
      </c>
      <c r="C67" s="175" t="s">
        <v>35</v>
      </c>
      <c r="D67" s="176" t="s">
        <v>853</v>
      </c>
      <c r="E67" s="175" t="s">
        <v>1</v>
      </c>
      <c r="F67" s="215"/>
      <c r="G67" s="218" t="s">
        <v>1</v>
      </c>
      <c r="H67" s="201" t="s">
        <v>855</v>
      </c>
      <c r="I67" s="218" t="s">
        <v>17</v>
      </c>
      <c r="J67" s="219" t="s">
        <v>35</v>
      </c>
      <c r="K67" s="200" t="s">
        <v>855</v>
      </c>
      <c r="L67" s="219" t="s">
        <v>1001</v>
      </c>
    </row>
    <row r="68" spans="1:12" ht="195" x14ac:dyDescent="0.3">
      <c r="A68" s="170"/>
      <c r="B68" s="190" t="s">
        <v>903</v>
      </c>
      <c r="C68" s="175" t="s">
        <v>37</v>
      </c>
      <c r="D68" s="176" t="s">
        <v>853</v>
      </c>
      <c r="E68" s="175" t="s">
        <v>2</v>
      </c>
      <c r="F68" s="175"/>
      <c r="G68" s="218" t="s">
        <v>2</v>
      </c>
      <c r="H68" s="201" t="s">
        <v>855</v>
      </c>
      <c r="I68" s="218" t="s">
        <v>17</v>
      </c>
      <c r="J68" s="219" t="s">
        <v>35</v>
      </c>
      <c r="K68" s="200" t="s">
        <v>855</v>
      </c>
      <c r="L68" s="219" t="s">
        <v>1001</v>
      </c>
    </row>
    <row r="69" spans="1:12" ht="195" x14ac:dyDescent="0.3">
      <c r="A69" s="170"/>
      <c r="B69" s="190" t="s">
        <v>904</v>
      </c>
      <c r="C69" s="175" t="s">
        <v>37</v>
      </c>
      <c r="D69" s="176" t="s">
        <v>853</v>
      </c>
      <c r="E69" s="175" t="s">
        <v>2</v>
      </c>
      <c r="F69" s="175"/>
      <c r="G69" s="218" t="s">
        <v>2</v>
      </c>
      <c r="H69" s="201" t="s">
        <v>855</v>
      </c>
      <c r="I69" s="218" t="s">
        <v>17</v>
      </c>
      <c r="J69" s="219" t="s">
        <v>35</v>
      </c>
      <c r="K69" s="200" t="s">
        <v>855</v>
      </c>
      <c r="L69" s="219" t="s">
        <v>1001</v>
      </c>
    </row>
    <row r="70" spans="1:12" ht="195" x14ac:dyDescent="0.3">
      <c r="A70" s="170"/>
      <c r="B70" s="190" t="s">
        <v>905</v>
      </c>
      <c r="C70" s="175" t="s">
        <v>35</v>
      </c>
      <c r="D70" s="176" t="s">
        <v>853</v>
      </c>
      <c r="E70" s="175" t="s">
        <v>1</v>
      </c>
      <c r="F70" s="175"/>
      <c r="G70" s="218" t="s">
        <v>1</v>
      </c>
      <c r="H70" s="201" t="s">
        <v>906</v>
      </c>
      <c r="I70" s="218" t="s">
        <v>17</v>
      </c>
      <c r="J70" s="219" t="s">
        <v>35</v>
      </c>
      <c r="K70" s="200" t="s">
        <v>855</v>
      </c>
      <c r="L70" s="219" t="s">
        <v>1001</v>
      </c>
    </row>
    <row r="71" spans="1:12" ht="195" x14ac:dyDescent="0.3">
      <c r="A71" s="170"/>
      <c r="B71" s="190" t="s">
        <v>907</v>
      </c>
      <c r="C71" s="175" t="s">
        <v>35</v>
      </c>
      <c r="D71" s="176" t="s">
        <v>853</v>
      </c>
      <c r="E71" s="175" t="s">
        <v>1</v>
      </c>
      <c r="F71" s="175"/>
      <c r="G71" s="218" t="s">
        <v>1</v>
      </c>
      <c r="H71" s="201" t="s">
        <v>855</v>
      </c>
      <c r="I71" s="218" t="s">
        <v>17</v>
      </c>
      <c r="J71" s="219" t="s">
        <v>35</v>
      </c>
      <c r="K71" s="200" t="s">
        <v>855</v>
      </c>
      <c r="L71" s="219" t="s">
        <v>1001</v>
      </c>
    </row>
    <row r="72" spans="1:12" ht="195" x14ac:dyDescent="0.3">
      <c r="A72" s="170"/>
      <c r="B72" s="190" t="s">
        <v>908</v>
      </c>
      <c r="C72" s="175" t="s">
        <v>35</v>
      </c>
      <c r="D72" s="176" t="s">
        <v>853</v>
      </c>
      <c r="E72" s="175" t="s">
        <v>2</v>
      </c>
      <c r="F72" s="175"/>
      <c r="G72" s="218" t="s">
        <v>2</v>
      </c>
      <c r="H72" s="201" t="s">
        <v>855</v>
      </c>
      <c r="I72" s="218" t="s">
        <v>17</v>
      </c>
      <c r="J72" s="219" t="s">
        <v>35</v>
      </c>
      <c r="K72" s="200" t="s">
        <v>855</v>
      </c>
      <c r="L72" s="219" t="s">
        <v>1001</v>
      </c>
    </row>
    <row r="73" spans="1:12" ht="195" x14ac:dyDescent="0.3">
      <c r="A73" s="170"/>
      <c r="B73" s="190" t="s">
        <v>909</v>
      </c>
      <c r="C73" s="175" t="s">
        <v>35</v>
      </c>
      <c r="D73" s="176" t="s">
        <v>853</v>
      </c>
      <c r="E73" s="175" t="s">
        <v>1</v>
      </c>
      <c r="F73" s="175"/>
      <c r="G73" s="218" t="s">
        <v>1</v>
      </c>
      <c r="H73" s="201" t="s">
        <v>855</v>
      </c>
      <c r="I73" s="218" t="s">
        <v>17</v>
      </c>
      <c r="J73" s="219" t="s">
        <v>35</v>
      </c>
      <c r="K73" s="200" t="s">
        <v>855</v>
      </c>
      <c r="L73" s="219" t="s">
        <v>1001</v>
      </c>
    </row>
    <row r="74" spans="1:12" ht="195" x14ac:dyDescent="0.3">
      <c r="A74" s="170"/>
      <c r="B74" s="190" t="s">
        <v>910</v>
      </c>
      <c r="C74" s="175" t="s">
        <v>35</v>
      </c>
      <c r="D74" s="176" t="s">
        <v>853</v>
      </c>
      <c r="E74" s="175" t="s">
        <v>1</v>
      </c>
      <c r="F74" s="175"/>
      <c r="G74" s="218" t="s">
        <v>1</v>
      </c>
      <c r="H74" s="201" t="s">
        <v>855</v>
      </c>
      <c r="I74" s="218" t="s">
        <v>17</v>
      </c>
      <c r="J74" s="219" t="s">
        <v>35</v>
      </c>
      <c r="K74" s="200" t="s">
        <v>855</v>
      </c>
      <c r="L74" s="219" t="s">
        <v>1001</v>
      </c>
    </row>
    <row r="75" spans="1:12" ht="195" x14ac:dyDescent="0.3">
      <c r="A75" s="170"/>
      <c r="B75" s="190" t="s">
        <v>911</v>
      </c>
      <c r="C75" s="175" t="s">
        <v>35</v>
      </c>
      <c r="D75" s="176" t="s">
        <v>853</v>
      </c>
      <c r="E75" s="175" t="s">
        <v>1</v>
      </c>
      <c r="F75" s="175"/>
      <c r="G75" s="218" t="s">
        <v>1</v>
      </c>
      <c r="H75" s="201" t="s">
        <v>855</v>
      </c>
      <c r="I75" s="218" t="s">
        <v>17</v>
      </c>
      <c r="J75" s="219" t="s">
        <v>35</v>
      </c>
      <c r="K75" s="200" t="s">
        <v>855</v>
      </c>
      <c r="L75" s="219" t="s">
        <v>1001</v>
      </c>
    </row>
    <row r="76" spans="1:12" s="20" customFormat="1" ht="15.6" x14ac:dyDescent="0.3">
      <c r="A76" s="31"/>
      <c r="B76" s="80" t="s">
        <v>912</v>
      </c>
      <c r="C76" s="33" t="s">
        <v>37</v>
      </c>
      <c r="D76" s="44" t="s">
        <v>853</v>
      </c>
      <c r="E76" s="33" t="s">
        <v>2</v>
      </c>
      <c r="F76" s="33"/>
      <c r="G76" s="46" t="s">
        <v>36</v>
      </c>
      <c r="H76" s="47"/>
      <c r="I76" s="46" t="s">
        <v>17</v>
      </c>
      <c r="J76" s="74"/>
      <c r="K76" s="74"/>
      <c r="L76" s="74" t="s">
        <v>1001</v>
      </c>
    </row>
    <row r="109" spans="5:6" x14ac:dyDescent="0.3">
      <c r="E109" s="227"/>
    </row>
    <row r="110" spans="5:6" ht="409.6" x14ac:dyDescent="0.3">
      <c r="F110" s="227" t="s">
        <v>388</v>
      </c>
    </row>
    <row r="112" spans="5:6" x14ac:dyDescent="0.3">
      <c r="E112" s="227"/>
    </row>
    <row r="113" spans="6:6" x14ac:dyDescent="0.3">
      <c r="F113" s="227"/>
    </row>
  </sheetData>
  <autoFilter ref="A1:L76" xr:uid="{C0DBBC39-6EFD-4D27-9252-8BDA348706A0}"/>
  <mergeCells count="2">
    <mergeCell ref="A2:A4"/>
    <mergeCell ref="A5:A16"/>
  </mergeCells>
  <conditionalFormatting sqref="G1:G76">
    <cfRule type="cellIs" dxfId="26" priority="1" operator="equal">
      <formula>"X"</formula>
    </cfRule>
    <cfRule type="cellIs" dxfId="25" priority="2" operator="equal">
      <formula>"N"</formula>
    </cfRule>
    <cfRule type="containsText" dxfId="24" priority="3" operator="containsText" text="SX">
      <formula>NOT(ISERROR(SEARCH("SX",G1)))</formula>
    </cfRule>
  </conditionalFormatting>
  <pageMargins left="0.7" right="0.7" top="0.75" bottom="0.75" header="0.3" footer="0.3"/>
  <pageSetup paperSize="9" scale="55"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96482-3297-407C-A33A-5CC95B916239}">
  <sheetPr>
    <tabColor rgb="FF00B050"/>
    <pageSetUpPr fitToPage="1"/>
  </sheetPr>
  <dimension ref="A1:L116"/>
  <sheetViews>
    <sheetView zoomScaleNormal="100" workbookViewId="0">
      <pane ySplit="1" topLeftCell="A2" activePane="bottomLeft" state="frozen"/>
      <selection activeCell="R29" sqref="R29"/>
      <selection pane="bottomLeft" activeCell="L1" sqref="L1"/>
    </sheetView>
  </sheetViews>
  <sheetFormatPr defaultColWidth="8.6640625" defaultRowHeight="13.8" x14ac:dyDescent="0.25"/>
  <cols>
    <col min="1" max="1" width="5.33203125" style="4" customWidth="1"/>
    <col min="2" max="2" width="56.109375" style="4" customWidth="1"/>
    <col min="3" max="4" width="10.109375" style="9" customWidth="1"/>
    <col min="5" max="6" width="10.109375" style="3" customWidth="1"/>
    <col min="7" max="7" width="10.109375" style="4" customWidth="1"/>
    <col min="8" max="8" width="17.33203125" style="4" customWidth="1"/>
    <col min="9" max="9" width="8.6640625" style="9"/>
    <col min="10" max="10" width="22" style="9" bestFit="1" customWidth="1"/>
    <col min="11" max="11" width="12.44140625" style="4" bestFit="1" customWidth="1"/>
    <col min="12" max="12" width="10.44140625" style="4" customWidth="1"/>
    <col min="13" max="16384" width="8.6640625" style="4"/>
  </cols>
  <sheetData>
    <row r="1" spans="1:12" s="130" customFormat="1" ht="31.2" x14ac:dyDescent="0.3">
      <c r="A1" s="114" t="s">
        <v>913</v>
      </c>
      <c r="B1" s="115" t="s">
        <v>914</v>
      </c>
      <c r="C1" s="116" t="s">
        <v>40</v>
      </c>
      <c r="D1" s="116" t="s">
        <v>41</v>
      </c>
      <c r="E1" s="116" t="s">
        <v>42</v>
      </c>
      <c r="F1" s="116" t="s">
        <v>43</v>
      </c>
      <c r="G1" s="118" t="s">
        <v>44</v>
      </c>
      <c r="H1" s="119" t="s">
        <v>45</v>
      </c>
      <c r="I1" s="118" t="s">
        <v>46</v>
      </c>
      <c r="J1" s="120" t="s">
        <v>47</v>
      </c>
      <c r="K1" s="121" t="s">
        <v>41</v>
      </c>
      <c r="L1" s="214" t="s">
        <v>1000</v>
      </c>
    </row>
    <row r="2" spans="1:12" ht="15" x14ac:dyDescent="0.25">
      <c r="A2" s="31" t="s">
        <v>48</v>
      </c>
      <c r="B2" s="32" t="s">
        <v>915</v>
      </c>
      <c r="C2" s="33" t="s">
        <v>35</v>
      </c>
      <c r="D2" s="33"/>
      <c r="E2" s="54" t="s">
        <v>1</v>
      </c>
      <c r="F2" s="54" t="s">
        <v>2</v>
      </c>
      <c r="G2" s="46" t="s">
        <v>1</v>
      </c>
      <c r="H2" s="47" t="s">
        <v>916</v>
      </c>
      <c r="I2" s="46" t="s">
        <v>19</v>
      </c>
      <c r="J2" s="132" t="s">
        <v>35</v>
      </c>
      <c r="K2" s="131"/>
      <c r="L2" s="131" t="s">
        <v>1001</v>
      </c>
    </row>
    <row r="3" spans="1:12" ht="15" x14ac:dyDescent="0.25">
      <c r="A3" s="31" t="s">
        <v>51</v>
      </c>
      <c r="B3" s="32" t="s">
        <v>917</v>
      </c>
      <c r="C3" s="33" t="s">
        <v>35</v>
      </c>
      <c r="D3" s="33"/>
      <c r="E3" s="54" t="s">
        <v>1</v>
      </c>
      <c r="F3" s="54" t="s">
        <v>2</v>
      </c>
      <c r="G3" s="46" t="s">
        <v>1</v>
      </c>
      <c r="H3" s="47" t="s">
        <v>916</v>
      </c>
      <c r="I3" s="46" t="s">
        <v>19</v>
      </c>
      <c r="J3" s="132" t="s">
        <v>35</v>
      </c>
      <c r="K3" s="131"/>
      <c r="L3" s="131" t="s">
        <v>1001</v>
      </c>
    </row>
    <row r="4" spans="1:12" ht="15" x14ac:dyDescent="0.25">
      <c r="A4" s="31" t="s">
        <v>55</v>
      </c>
      <c r="B4" s="32" t="s">
        <v>918</v>
      </c>
      <c r="C4" s="33" t="s">
        <v>35</v>
      </c>
      <c r="D4" s="33"/>
      <c r="E4" s="54" t="s">
        <v>1</v>
      </c>
      <c r="F4" s="54" t="s">
        <v>2</v>
      </c>
      <c r="G4" s="46" t="s">
        <v>1</v>
      </c>
      <c r="H4" s="47" t="s">
        <v>916</v>
      </c>
      <c r="I4" s="46" t="s">
        <v>19</v>
      </c>
      <c r="J4" s="132" t="s">
        <v>35</v>
      </c>
      <c r="K4" s="131"/>
      <c r="L4" s="131" t="s">
        <v>1001</v>
      </c>
    </row>
    <row r="5" spans="1:12" ht="15" x14ac:dyDescent="0.25">
      <c r="A5" s="31" t="s">
        <v>63</v>
      </c>
      <c r="B5" s="32" t="s">
        <v>919</v>
      </c>
      <c r="C5" s="33" t="s">
        <v>35</v>
      </c>
      <c r="D5" s="33"/>
      <c r="E5" s="54" t="s">
        <v>1</v>
      </c>
      <c r="F5" s="54" t="s">
        <v>2</v>
      </c>
      <c r="G5" s="46" t="s">
        <v>1</v>
      </c>
      <c r="H5" s="47" t="s">
        <v>916</v>
      </c>
      <c r="I5" s="46" t="s">
        <v>19</v>
      </c>
      <c r="J5" s="132" t="s">
        <v>35</v>
      </c>
      <c r="K5" s="131"/>
      <c r="L5" s="131" t="s">
        <v>1001</v>
      </c>
    </row>
    <row r="6" spans="1:12" ht="15" x14ac:dyDescent="0.25">
      <c r="A6" s="31" t="s">
        <v>68</v>
      </c>
      <c r="B6" s="32" t="s">
        <v>920</v>
      </c>
      <c r="C6" s="33" t="s">
        <v>35</v>
      </c>
      <c r="D6" s="33"/>
      <c r="E6" s="54" t="s">
        <v>1</v>
      </c>
      <c r="F6" s="54" t="s">
        <v>2</v>
      </c>
      <c r="G6" s="46" t="s">
        <v>1</v>
      </c>
      <c r="H6" s="47" t="s">
        <v>916</v>
      </c>
      <c r="I6" s="46" t="s">
        <v>19</v>
      </c>
      <c r="J6" s="132" t="s">
        <v>35</v>
      </c>
      <c r="K6" s="131"/>
      <c r="L6" s="131" t="s">
        <v>1001</v>
      </c>
    </row>
    <row r="7" spans="1:12" ht="15" x14ac:dyDescent="0.25">
      <c r="A7" s="31" t="s">
        <v>72</v>
      </c>
      <c r="B7" s="31" t="s">
        <v>921</v>
      </c>
      <c r="C7" s="33" t="s">
        <v>35</v>
      </c>
      <c r="D7" s="33"/>
      <c r="E7" s="54" t="s">
        <v>1</v>
      </c>
      <c r="F7" s="54" t="s">
        <v>2</v>
      </c>
      <c r="G7" s="46" t="s">
        <v>1</v>
      </c>
      <c r="H7" s="47" t="s">
        <v>916</v>
      </c>
      <c r="I7" s="46" t="s">
        <v>19</v>
      </c>
      <c r="J7" s="132" t="s">
        <v>35</v>
      </c>
      <c r="K7" s="131"/>
      <c r="L7" s="131" t="s">
        <v>1001</v>
      </c>
    </row>
    <row r="8" spans="1:12" x14ac:dyDescent="0.25">
      <c r="A8" s="1"/>
    </row>
    <row r="70" spans="6:6" x14ac:dyDescent="0.25">
      <c r="F70" s="57"/>
    </row>
    <row r="112" spans="5:5" x14ac:dyDescent="0.25">
      <c r="E112" s="57"/>
    </row>
    <row r="113" spans="5:6" x14ac:dyDescent="0.25">
      <c r="F113" s="57" t="s">
        <v>388</v>
      </c>
    </row>
    <row r="115" spans="5:6" x14ac:dyDescent="0.25">
      <c r="E115" s="57"/>
    </row>
    <row r="116" spans="5:6" x14ac:dyDescent="0.25">
      <c r="F116" s="57"/>
    </row>
  </sheetData>
  <autoFilter ref="A1:K7" xr:uid="{83196482-3297-407C-A33A-5CC95B916239}"/>
  <conditionalFormatting sqref="G1:G7">
    <cfRule type="cellIs" dxfId="23" priority="1" operator="equal">
      <formula>"X"</formula>
    </cfRule>
    <cfRule type="cellIs" dxfId="22" priority="2" operator="equal">
      <formula>"N"</formula>
    </cfRule>
    <cfRule type="containsText" dxfId="21" priority="3" operator="containsText" text="SX">
      <formula>NOT(ISERROR(SEARCH("SX",G1)))</formula>
    </cfRule>
  </conditionalFormatting>
  <pageMargins left="0.7" right="0.7" top="0.75" bottom="0.75" header="0.3" footer="0.3"/>
  <pageSetup paperSize="9" scale="55"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21AEC-7D49-4B08-B5B2-626113783F2A}">
  <sheetPr>
    <tabColor rgb="FF00B050"/>
    <pageSetUpPr fitToPage="1"/>
  </sheetPr>
  <dimension ref="A1:L116"/>
  <sheetViews>
    <sheetView zoomScaleNormal="100" workbookViewId="0">
      <pane ySplit="1" topLeftCell="A2" activePane="bottomLeft" state="frozen"/>
      <selection activeCell="R29" sqref="R29"/>
      <selection pane="bottomLeft" activeCell="L10" sqref="L10"/>
    </sheetView>
  </sheetViews>
  <sheetFormatPr defaultColWidth="8.6640625" defaultRowHeight="13.8" x14ac:dyDescent="0.25"/>
  <cols>
    <col min="1" max="1" width="5.33203125" style="4" customWidth="1"/>
    <col min="2" max="2" width="41.44140625" style="4" customWidth="1"/>
    <col min="3" max="4" width="10.109375" style="9" customWidth="1"/>
    <col min="5" max="6" width="10.109375" style="3" customWidth="1"/>
    <col min="7" max="7" width="10.109375" style="9" customWidth="1"/>
    <col min="8" max="8" width="10.109375" style="4" customWidth="1"/>
    <col min="9" max="9" width="18.109375" style="4" customWidth="1"/>
    <col min="10" max="10" width="22" style="4" bestFit="1" customWidth="1"/>
    <col min="11" max="11" width="12.44140625" style="4" bestFit="1" customWidth="1"/>
    <col min="12" max="16384" width="8.6640625" style="4"/>
  </cols>
  <sheetData>
    <row r="1" spans="1:12" s="130" customFormat="1" ht="62.4" x14ac:dyDescent="0.3">
      <c r="A1" s="114" t="s">
        <v>922</v>
      </c>
      <c r="B1" s="115" t="s">
        <v>923</v>
      </c>
      <c r="C1" s="116" t="s">
        <v>40</v>
      </c>
      <c r="D1" s="116" t="s">
        <v>41</v>
      </c>
      <c r="E1" s="116" t="s">
        <v>42</v>
      </c>
      <c r="F1" s="116" t="s">
        <v>43</v>
      </c>
      <c r="G1" s="118" t="s">
        <v>44</v>
      </c>
      <c r="H1" s="119" t="s">
        <v>45</v>
      </c>
      <c r="I1" s="118" t="s">
        <v>46</v>
      </c>
      <c r="J1" s="120" t="s">
        <v>47</v>
      </c>
      <c r="K1" s="121" t="s">
        <v>41</v>
      </c>
      <c r="L1" s="214" t="s">
        <v>1000</v>
      </c>
    </row>
    <row r="2" spans="1:12" ht="15.6" x14ac:dyDescent="0.25">
      <c r="A2" s="233" t="s">
        <v>48</v>
      </c>
      <c r="B2" s="72" t="s">
        <v>924</v>
      </c>
      <c r="C2" s="33" t="s">
        <v>35</v>
      </c>
      <c r="D2" s="76"/>
      <c r="E2" s="54" t="s">
        <v>2</v>
      </c>
      <c r="F2" s="54" t="s">
        <v>2</v>
      </c>
      <c r="G2" s="46" t="s">
        <v>2</v>
      </c>
      <c r="H2" s="47" t="s">
        <v>916</v>
      </c>
      <c r="I2" s="46" t="s">
        <v>21</v>
      </c>
      <c r="J2" s="132" t="s">
        <v>35</v>
      </c>
      <c r="K2" s="131"/>
      <c r="L2" s="131" t="s">
        <v>1001</v>
      </c>
    </row>
    <row r="3" spans="1:12" ht="15" x14ac:dyDescent="0.25">
      <c r="A3" s="233"/>
      <c r="B3" s="31" t="s">
        <v>925</v>
      </c>
      <c r="C3" s="33" t="s">
        <v>35</v>
      </c>
      <c r="D3" s="33"/>
      <c r="E3" s="54" t="s">
        <v>2</v>
      </c>
      <c r="F3" s="54" t="s">
        <v>2</v>
      </c>
      <c r="G3" s="46" t="s">
        <v>2</v>
      </c>
      <c r="H3" s="47" t="s">
        <v>916</v>
      </c>
      <c r="I3" s="46" t="s">
        <v>21</v>
      </c>
      <c r="J3" s="132" t="s">
        <v>35</v>
      </c>
      <c r="K3" s="131"/>
      <c r="L3" s="131" t="s">
        <v>1001</v>
      </c>
    </row>
    <row r="4" spans="1:12" ht="15.6" x14ac:dyDescent="0.25">
      <c r="A4" s="233"/>
      <c r="B4" s="31" t="s">
        <v>926</v>
      </c>
      <c r="C4" s="33" t="s">
        <v>35</v>
      </c>
      <c r="D4" s="76"/>
      <c r="E4" s="54" t="s">
        <v>1</v>
      </c>
      <c r="F4" s="54" t="s">
        <v>2</v>
      </c>
      <c r="G4" s="46" t="s">
        <v>1</v>
      </c>
      <c r="H4" s="47" t="s">
        <v>916</v>
      </c>
      <c r="I4" s="46" t="s">
        <v>21</v>
      </c>
      <c r="J4" s="132" t="s">
        <v>35</v>
      </c>
      <c r="K4" s="131"/>
      <c r="L4" s="131" t="s">
        <v>1001</v>
      </c>
    </row>
    <row r="5" spans="1:12" ht="15" x14ac:dyDescent="0.25">
      <c r="A5" s="233"/>
      <c r="B5" s="31" t="s">
        <v>927</v>
      </c>
      <c r="C5" s="33" t="s">
        <v>35</v>
      </c>
      <c r="D5" s="33"/>
      <c r="E5" s="54" t="s">
        <v>1</v>
      </c>
      <c r="F5" s="54" t="s">
        <v>2</v>
      </c>
      <c r="G5" s="46" t="s">
        <v>1</v>
      </c>
      <c r="H5" s="47" t="s">
        <v>916</v>
      </c>
      <c r="I5" s="46" t="s">
        <v>21</v>
      </c>
      <c r="J5" s="132" t="s">
        <v>35</v>
      </c>
      <c r="K5" s="131"/>
      <c r="L5" s="131" t="s">
        <v>1001</v>
      </c>
    </row>
    <row r="6" spans="1:12" ht="15.6" x14ac:dyDescent="0.25">
      <c r="A6" s="233" t="s">
        <v>51</v>
      </c>
      <c r="B6" s="72" t="s">
        <v>928</v>
      </c>
      <c r="C6" s="74"/>
      <c r="D6" s="74"/>
      <c r="E6" s="74"/>
      <c r="F6" s="74"/>
      <c r="G6" s="74"/>
      <c r="H6" s="74"/>
      <c r="I6" s="74"/>
      <c r="J6" s="74"/>
      <c r="K6" s="74"/>
      <c r="L6" s="74"/>
    </row>
    <row r="7" spans="1:12" ht="15" x14ac:dyDescent="0.25">
      <c r="A7" s="233"/>
      <c r="B7" s="31" t="s">
        <v>929</v>
      </c>
      <c r="C7" s="33" t="s">
        <v>35</v>
      </c>
      <c r="D7" s="33"/>
      <c r="E7" s="54" t="s">
        <v>2</v>
      </c>
      <c r="F7" s="54" t="s">
        <v>2</v>
      </c>
      <c r="G7" s="46" t="s">
        <v>2</v>
      </c>
      <c r="H7" s="47" t="s">
        <v>916</v>
      </c>
      <c r="I7" s="46" t="s">
        <v>21</v>
      </c>
      <c r="J7" s="132" t="s">
        <v>35</v>
      </c>
      <c r="K7" s="131"/>
      <c r="L7" s="131" t="s">
        <v>1001</v>
      </c>
    </row>
    <row r="8" spans="1:12" ht="15" x14ac:dyDescent="0.25">
      <c r="A8" s="233"/>
      <c r="B8" s="31" t="s">
        <v>930</v>
      </c>
      <c r="C8" s="33" t="s">
        <v>35</v>
      </c>
      <c r="D8" s="33"/>
      <c r="E8" s="54" t="s">
        <v>2</v>
      </c>
      <c r="F8" s="54" t="s">
        <v>2</v>
      </c>
      <c r="G8" s="46" t="s">
        <v>2</v>
      </c>
      <c r="H8" s="47" t="s">
        <v>916</v>
      </c>
      <c r="I8" s="46" t="s">
        <v>21</v>
      </c>
      <c r="J8" s="132" t="s">
        <v>35</v>
      </c>
      <c r="K8" s="131"/>
      <c r="L8" s="131" t="s">
        <v>1001</v>
      </c>
    </row>
    <row r="9" spans="1:12" ht="15" x14ac:dyDescent="0.25">
      <c r="A9" s="233"/>
      <c r="B9" s="31" t="s">
        <v>931</v>
      </c>
      <c r="C9" s="33" t="s">
        <v>35</v>
      </c>
      <c r="D9" s="33"/>
      <c r="E9" s="54" t="s">
        <v>2</v>
      </c>
      <c r="F9" s="54" t="s">
        <v>2</v>
      </c>
      <c r="G9" s="46" t="s">
        <v>2</v>
      </c>
      <c r="H9" s="47" t="s">
        <v>916</v>
      </c>
      <c r="I9" s="46" t="s">
        <v>21</v>
      </c>
      <c r="J9" s="132" t="s">
        <v>35</v>
      </c>
      <c r="K9" s="131"/>
      <c r="L9" s="131" t="s">
        <v>1001</v>
      </c>
    </row>
    <row r="70" spans="6:6" x14ac:dyDescent="0.25">
      <c r="F70" s="57"/>
    </row>
    <row r="112" spans="5:5" x14ac:dyDescent="0.25">
      <c r="E112" s="57"/>
    </row>
    <row r="113" spans="5:6" x14ac:dyDescent="0.25">
      <c r="F113" s="57" t="s">
        <v>388</v>
      </c>
    </row>
    <row r="115" spans="5:6" x14ac:dyDescent="0.25">
      <c r="E115" s="57"/>
    </row>
    <row r="116" spans="5:6" x14ac:dyDescent="0.25">
      <c r="F116" s="57"/>
    </row>
  </sheetData>
  <autoFilter ref="A1:K9" xr:uid="{DA421AEC-7D49-4B08-B5B2-626113783F2A}"/>
  <mergeCells count="2">
    <mergeCell ref="A2:A5"/>
    <mergeCell ref="A6:A9"/>
  </mergeCells>
  <conditionalFormatting sqref="G1:G9">
    <cfRule type="cellIs" dxfId="20" priority="1" operator="equal">
      <formula>"X"</formula>
    </cfRule>
    <cfRule type="cellIs" dxfId="19" priority="2" operator="equal">
      <formula>"N"</formula>
    </cfRule>
    <cfRule type="containsText" dxfId="18" priority="3" operator="containsText" text="SX">
      <formula>NOT(ISERROR(SEARCH("SX",G1)))</formula>
    </cfRule>
  </conditionalFormatting>
  <pageMargins left="0.7" right="0.7" top="0.75" bottom="0.75" header="0.3" footer="0.3"/>
  <pageSetup paperSize="9" scale="55"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292C7-1D7B-41EB-8ADD-942FE0AF7882}">
  <sheetPr>
    <tabColor rgb="FF00B050"/>
    <pageSetUpPr fitToPage="1"/>
  </sheetPr>
  <dimension ref="A1:L116"/>
  <sheetViews>
    <sheetView zoomScaleNormal="100" workbookViewId="0">
      <pane ySplit="1" topLeftCell="A2" activePane="bottomLeft" state="frozen"/>
      <selection activeCell="R29" sqref="R29"/>
      <selection pane="bottomLeft" activeCell="J12" sqref="J12"/>
    </sheetView>
  </sheetViews>
  <sheetFormatPr defaultColWidth="8.6640625" defaultRowHeight="15" x14ac:dyDescent="0.25"/>
  <cols>
    <col min="1" max="1" width="5.33203125" style="14" customWidth="1"/>
    <col min="2" max="2" width="35" style="14" customWidth="1"/>
    <col min="3" max="4" width="10.109375" style="22" customWidth="1"/>
    <col min="5" max="6" width="10.109375" style="17" customWidth="1"/>
    <col min="7" max="7" width="10.109375" style="22" customWidth="1"/>
    <col min="8" max="8" width="15" style="14" customWidth="1"/>
    <col min="9" max="9" width="10.33203125" style="14" bestFit="1" customWidth="1"/>
    <col min="10" max="10" width="22" style="14" bestFit="1" customWidth="1"/>
    <col min="11" max="11" width="12.44140625" style="14" bestFit="1" customWidth="1"/>
    <col min="12" max="16384" width="8.6640625" style="14"/>
  </cols>
  <sheetData>
    <row r="1" spans="1:12" s="113" customFormat="1" ht="62.4" x14ac:dyDescent="0.3">
      <c r="A1" s="114" t="s">
        <v>932</v>
      </c>
      <c r="B1" s="115" t="s">
        <v>933</v>
      </c>
      <c r="C1" s="116" t="s">
        <v>40</v>
      </c>
      <c r="D1" s="116" t="s">
        <v>41</v>
      </c>
      <c r="E1" s="116" t="s">
        <v>42</v>
      </c>
      <c r="F1" s="116" t="s">
        <v>43</v>
      </c>
      <c r="G1" s="118" t="s">
        <v>44</v>
      </c>
      <c r="H1" s="119" t="s">
        <v>45</v>
      </c>
      <c r="I1" s="118" t="s">
        <v>46</v>
      </c>
      <c r="J1" s="120" t="s">
        <v>47</v>
      </c>
      <c r="K1" s="121" t="s">
        <v>41</v>
      </c>
      <c r="L1" s="214" t="s">
        <v>1000</v>
      </c>
    </row>
    <row r="2" spans="1:12" x14ac:dyDescent="0.25">
      <c r="A2" s="233" t="s">
        <v>48</v>
      </c>
      <c r="B2" s="36" t="s">
        <v>934</v>
      </c>
      <c r="C2" s="33" t="s">
        <v>35</v>
      </c>
      <c r="D2" s="33"/>
      <c r="E2" s="33" t="s">
        <v>2</v>
      </c>
      <c r="F2" s="33" t="s">
        <v>2</v>
      </c>
      <c r="G2" s="34" t="s">
        <v>2</v>
      </c>
      <c r="H2" s="35" t="s">
        <v>916</v>
      </c>
      <c r="I2" s="34" t="s">
        <v>23</v>
      </c>
      <c r="J2" s="124" t="s">
        <v>35</v>
      </c>
      <c r="K2" s="133"/>
      <c r="L2" s="133" t="s">
        <v>1001</v>
      </c>
    </row>
    <row r="3" spans="1:12" x14ac:dyDescent="0.25">
      <c r="A3" s="233"/>
      <c r="B3" s="31" t="s">
        <v>935</v>
      </c>
      <c r="C3" s="33" t="s">
        <v>35</v>
      </c>
      <c r="D3" s="33"/>
      <c r="E3" s="33" t="s">
        <v>2</v>
      </c>
      <c r="F3" s="33" t="s">
        <v>2</v>
      </c>
      <c r="G3" s="34" t="s">
        <v>2</v>
      </c>
      <c r="H3" s="35" t="s">
        <v>916</v>
      </c>
      <c r="I3" s="34" t="s">
        <v>23</v>
      </c>
      <c r="J3" s="124" t="s">
        <v>35</v>
      </c>
      <c r="K3" s="133"/>
      <c r="L3" s="133" t="s">
        <v>1001</v>
      </c>
    </row>
    <row r="4" spans="1:12" ht="15.6" x14ac:dyDescent="0.25">
      <c r="A4" s="233"/>
      <c r="B4" s="31" t="s">
        <v>936</v>
      </c>
      <c r="C4" s="33" t="s">
        <v>35</v>
      </c>
      <c r="D4" s="76"/>
      <c r="E4" s="33" t="s">
        <v>2</v>
      </c>
      <c r="F4" s="33" t="s">
        <v>2</v>
      </c>
      <c r="G4" s="34" t="s">
        <v>2</v>
      </c>
      <c r="H4" s="35" t="s">
        <v>916</v>
      </c>
      <c r="I4" s="34" t="s">
        <v>23</v>
      </c>
      <c r="J4" s="124" t="s">
        <v>35</v>
      </c>
      <c r="K4" s="133"/>
      <c r="L4" s="133" t="s">
        <v>1001</v>
      </c>
    </row>
    <row r="5" spans="1:12" x14ac:dyDescent="0.25">
      <c r="A5" s="233"/>
      <c r="B5" s="31" t="s">
        <v>937</v>
      </c>
      <c r="C5" s="33" t="s">
        <v>35</v>
      </c>
      <c r="D5" s="33"/>
      <c r="E5" s="33" t="s">
        <v>2</v>
      </c>
      <c r="F5" s="33" t="s">
        <v>2</v>
      </c>
      <c r="G5" s="34" t="s">
        <v>2</v>
      </c>
      <c r="H5" s="35" t="s">
        <v>916</v>
      </c>
      <c r="I5" s="34" t="s">
        <v>23</v>
      </c>
      <c r="J5" s="124" t="s">
        <v>35</v>
      </c>
      <c r="K5" s="133"/>
      <c r="L5" s="133" t="s">
        <v>1001</v>
      </c>
    </row>
    <row r="6" spans="1:12" ht="15.6" x14ac:dyDescent="0.25">
      <c r="A6" s="31" t="s">
        <v>51</v>
      </c>
      <c r="B6" s="36" t="s">
        <v>938</v>
      </c>
      <c r="C6" s="33" t="s">
        <v>35</v>
      </c>
      <c r="D6" s="76"/>
      <c r="E6" s="33" t="s">
        <v>2</v>
      </c>
      <c r="F6" s="33" t="s">
        <v>2</v>
      </c>
      <c r="G6" s="34" t="s">
        <v>2</v>
      </c>
      <c r="H6" s="35" t="s">
        <v>916</v>
      </c>
      <c r="I6" s="34" t="s">
        <v>23</v>
      </c>
      <c r="J6" s="124" t="s">
        <v>35</v>
      </c>
      <c r="K6" s="133"/>
      <c r="L6" s="133" t="s">
        <v>1001</v>
      </c>
    </row>
    <row r="7" spans="1:12" x14ac:dyDescent="0.25">
      <c r="A7" s="31" t="s">
        <v>55</v>
      </c>
      <c r="B7" s="36" t="s">
        <v>939</v>
      </c>
      <c r="C7" s="33" t="s">
        <v>35</v>
      </c>
      <c r="D7" s="33"/>
      <c r="E7" s="33" t="s">
        <v>2</v>
      </c>
      <c r="F7" s="33" t="s">
        <v>2</v>
      </c>
      <c r="G7" s="34" t="s">
        <v>2</v>
      </c>
      <c r="H7" s="35" t="s">
        <v>916</v>
      </c>
      <c r="I7" s="34" t="s">
        <v>23</v>
      </c>
      <c r="J7" s="124" t="s">
        <v>35</v>
      </c>
      <c r="K7" s="133"/>
      <c r="L7" s="133" t="s">
        <v>1001</v>
      </c>
    </row>
    <row r="70" spans="6:6" x14ac:dyDescent="0.25">
      <c r="F70" s="71"/>
    </row>
    <row r="112" spans="5:5" x14ac:dyDescent="0.25">
      <c r="E112" s="71"/>
    </row>
    <row r="113" spans="5:6" x14ac:dyDescent="0.25">
      <c r="F113" s="71" t="s">
        <v>388</v>
      </c>
    </row>
    <row r="115" spans="5:6" x14ac:dyDescent="0.25">
      <c r="E115" s="71"/>
    </row>
    <row r="116" spans="5:6" x14ac:dyDescent="0.25">
      <c r="F116" s="71"/>
    </row>
  </sheetData>
  <autoFilter ref="A1:K7" xr:uid="{61A292C7-1D7B-41EB-8ADD-942FE0AF7882}"/>
  <mergeCells count="1">
    <mergeCell ref="A2:A5"/>
  </mergeCells>
  <conditionalFormatting sqref="G1:G7">
    <cfRule type="cellIs" dxfId="17" priority="1" operator="equal">
      <formula>"X"</formula>
    </cfRule>
    <cfRule type="cellIs" dxfId="16" priority="2" operator="equal">
      <formula>"N"</formula>
    </cfRule>
    <cfRule type="containsText" dxfId="15" priority="3" operator="containsText" text="SX">
      <formula>NOT(ISERROR(SEARCH("SX",G1)))</formula>
    </cfRule>
  </conditionalFormatting>
  <pageMargins left="0.7" right="0.7" top="0.75" bottom="0.75" header="0.3" footer="0.3"/>
  <pageSetup paperSize="9" scale="55"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998F4-AFEA-4CF4-BB53-16A9501F4B9C}">
  <sheetPr>
    <tabColor rgb="FF00B050"/>
    <pageSetUpPr fitToPage="1"/>
  </sheetPr>
  <dimension ref="A1:L116"/>
  <sheetViews>
    <sheetView zoomScaleNormal="100" workbookViewId="0">
      <pane ySplit="1" topLeftCell="A2" activePane="bottomLeft" state="frozen"/>
      <selection activeCell="R29" sqref="R29"/>
      <selection pane="bottomLeft" activeCell="F9" sqref="F9"/>
    </sheetView>
  </sheetViews>
  <sheetFormatPr defaultColWidth="8.6640625" defaultRowHeight="15" x14ac:dyDescent="0.25"/>
  <cols>
    <col min="1" max="1" width="5.33203125" style="19" customWidth="1"/>
    <col min="2" max="2" width="35" style="14" customWidth="1"/>
    <col min="3" max="3" width="10.109375" style="22" customWidth="1"/>
    <col min="4" max="4" width="10.109375" style="14" customWidth="1"/>
    <col min="5" max="6" width="10.109375" style="15" customWidth="1"/>
    <col min="7" max="8" width="10.109375" style="14" customWidth="1"/>
    <col min="9" max="9" width="10.33203125" style="22" bestFit="1" customWidth="1"/>
    <col min="10" max="10" width="22" style="14" bestFit="1" customWidth="1"/>
    <col min="11" max="11" width="12.44140625" style="14" bestFit="1" customWidth="1"/>
    <col min="12" max="16384" width="8.6640625" style="14"/>
  </cols>
  <sheetData>
    <row r="1" spans="1:12" s="113" customFormat="1" ht="62.4" x14ac:dyDescent="0.3">
      <c r="A1" s="134" t="s">
        <v>940</v>
      </c>
      <c r="B1" s="126" t="s">
        <v>941</v>
      </c>
      <c r="C1" s="127" t="s">
        <v>40</v>
      </c>
      <c r="D1" s="125" t="s">
        <v>41</v>
      </c>
      <c r="E1" s="134" t="s">
        <v>42</v>
      </c>
      <c r="F1" s="134" t="s">
        <v>43</v>
      </c>
      <c r="G1" s="128" t="s">
        <v>44</v>
      </c>
      <c r="H1" s="129" t="s">
        <v>45</v>
      </c>
      <c r="I1" s="118" t="s">
        <v>46</v>
      </c>
      <c r="J1" s="120" t="s">
        <v>47</v>
      </c>
      <c r="K1" s="121" t="s">
        <v>41</v>
      </c>
      <c r="L1" s="214" t="s">
        <v>1000</v>
      </c>
    </row>
    <row r="2" spans="1:12" x14ac:dyDescent="0.25">
      <c r="A2" s="7" t="s">
        <v>48</v>
      </c>
      <c r="B2" s="25" t="s">
        <v>942</v>
      </c>
      <c r="C2" s="2" t="s">
        <v>35</v>
      </c>
      <c r="D2" s="5" t="s">
        <v>943</v>
      </c>
      <c r="E2" s="7" t="s">
        <v>1</v>
      </c>
      <c r="F2" s="7" t="s">
        <v>2</v>
      </c>
      <c r="G2" s="23" t="s">
        <v>1</v>
      </c>
      <c r="H2" s="24" t="s">
        <v>944</v>
      </c>
      <c r="I2" s="23" t="s">
        <v>25</v>
      </c>
      <c r="J2" s="135" t="s">
        <v>35</v>
      </c>
      <c r="K2" s="135"/>
      <c r="L2" s="135" t="s">
        <v>1001</v>
      </c>
    </row>
    <row r="3" spans="1:12" x14ac:dyDescent="0.25">
      <c r="A3" s="7" t="s">
        <v>51</v>
      </c>
      <c r="B3" s="6" t="s">
        <v>945</v>
      </c>
      <c r="C3" s="2" t="s">
        <v>35</v>
      </c>
      <c r="D3" s="5"/>
      <c r="E3" s="7" t="s">
        <v>1</v>
      </c>
      <c r="F3" s="7" t="s">
        <v>2</v>
      </c>
      <c r="G3" s="23" t="s">
        <v>1</v>
      </c>
      <c r="H3" s="24" t="s">
        <v>944</v>
      </c>
      <c r="I3" s="23" t="s">
        <v>25</v>
      </c>
      <c r="J3" s="135" t="s">
        <v>35</v>
      </c>
      <c r="K3" s="135"/>
      <c r="L3" s="135" t="s">
        <v>1001</v>
      </c>
    </row>
    <row r="4" spans="1:12" x14ac:dyDescent="0.25">
      <c r="A4" s="7" t="s">
        <v>55</v>
      </c>
      <c r="B4" s="6" t="s">
        <v>946</v>
      </c>
      <c r="C4" s="2" t="s">
        <v>35</v>
      </c>
      <c r="D4" s="5"/>
      <c r="E4" s="7" t="s">
        <v>1</v>
      </c>
      <c r="F4" s="7" t="s">
        <v>2</v>
      </c>
      <c r="G4" s="23" t="s">
        <v>1</v>
      </c>
      <c r="H4" s="24" t="s">
        <v>944</v>
      </c>
      <c r="I4" s="23" t="s">
        <v>25</v>
      </c>
      <c r="J4" s="135" t="s">
        <v>35</v>
      </c>
      <c r="K4" s="135"/>
      <c r="L4" s="135" t="s">
        <v>1001</v>
      </c>
    </row>
    <row r="5" spans="1:12" x14ac:dyDescent="0.25">
      <c r="A5" s="7" t="s">
        <v>63</v>
      </c>
      <c r="B5" s="6" t="s">
        <v>947</v>
      </c>
      <c r="C5" s="2" t="s">
        <v>35</v>
      </c>
      <c r="D5" s="5"/>
      <c r="E5" s="7" t="s">
        <v>2</v>
      </c>
      <c r="F5" s="7" t="s">
        <v>2</v>
      </c>
      <c r="G5" s="23" t="s">
        <v>2</v>
      </c>
      <c r="H5" s="24" t="s">
        <v>944</v>
      </c>
      <c r="I5" s="23" t="s">
        <v>25</v>
      </c>
      <c r="J5" s="135" t="s">
        <v>35</v>
      </c>
      <c r="K5" s="135"/>
      <c r="L5" s="135" t="s">
        <v>1001</v>
      </c>
    </row>
    <row r="6" spans="1:12" x14ac:dyDescent="0.25">
      <c r="A6" s="7" t="s">
        <v>68</v>
      </c>
      <c r="B6" s="5" t="s">
        <v>948</v>
      </c>
      <c r="C6" s="26" t="s">
        <v>35</v>
      </c>
      <c r="D6" s="16"/>
      <c r="E6" s="7" t="s">
        <v>2</v>
      </c>
      <c r="F6" s="7" t="s">
        <v>2</v>
      </c>
      <c r="G6" s="23" t="s">
        <v>2</v>
      </c>
      <c r="H6" s="24" t="s">
        <v>944</v>
      </c>
      <c r="I6" s="23" t="s">
        <v>25</v>
      </c>
      <c r="J6" s="135" t="s">
        <v>35</v>
      </c>
      <c r="K6" s="135"/>
      <c r="L6" s="135" t="s">
        <v>1001</v>
      </c>
    </row>
    <row r="7" spans="1:12" ht="15.6" x14ac:dyDescent="0.25">
      <c r="A7" s="12"/>
      <c r="B7" s="13" t="s">
        <v>949</v>
      </c>
      <c r="C7" s="27" t="s">
        <v>40</v>
      </c>
      <c r="D7" s="12" t="s">
        <v>41</v>
      </c>
      <c r="E7" s="27"/>
      <c r="F7" s="27"/>
      <c r="G7" s="27"/>
      <c r="H7" s="27"/>
      <c r="I7" s="27"/>
      <c r="J7" s="27"/>
      <c r="K7" s="27"/>
      <c r="L7" s="27"/>
    </row>
    <row r="8" spans="1:12" x14ac:dyDescent="0.25">
      <c r="A8" s="21" t="s">
        <v>129</v>
      </c>
      <c r="B8" s="8" t="s">
        <v>950</v>
      </c>
      <c r="C8" s="26" t="s">
        <v>35</v>
      </c>
      <c r="D8" s="16"/>
      <c r="E8" s="7" t="s">
        <v>1</v>
      </c>
      <c r="F8" s="7"/>
      <c r="G8" s="23" t="s">
        <v>1</v>
      </c>
      <c r="H8" s="24" t="s">
        <v>944</v>
      </c>
      <c r="I8" s="23" t="s">
        <v>25</v>
      </c>
      <c r="J8" s="135" t="s">
        <v>35</v>
      </c>
      <c r="K8" s="135"/>
      <c r="L8" s="135" t="s">
        <v>1001</v>
      </c>
    </row>
    <row r="9" spans="1:12" x14ac:dyDescent="0.25">
      <c r="A9" s="21" t="s">
        <v>131</v>
      </c>
      <c r="B9" s="8" t="s">
        <v>951</v>
      </c>
      <c r="C9" s="26" t="s">
        <v>35</v>
      </c>
      <c r="D9" s="16"/>
      <c r="E9" s="7" t="s">
        <v>1</v>
      </c>
      <c r="F9" s="7"/>
      <c r="G9" s="23" t="s">
        <v>1</v>
      </c>
      <c r="H9" s="24" t="s">
        <v>944</v>
      </c>
      <c r="I9" s="23" t="s">
        <v>25</v>
      </c>
      <c r="J9" s="135" t="s">
        <v>35</v>
      </c>
      <c r="K9" s="135"/>
      <c r="L9" s="135" t="s">
        <v>1001</v>
      </c>
    </row>
    <row r="70" spans="6:6" x14ac:dyDescent="0.25">
      <c r="F70" s="18"/>
    </row>
    <row r="112" spans="5:5" x14ac:dyDescent="0.25">
      <c r="E112" s="18"/>
    </row>
    <row r="113" spans="5:6" x14ac:dyDescent="0.25">
      <c r="F113" s="18" t="s">
        <v>388</v>
      </c>
    </row>
    <row r="115" spans="5:6" x14ac:dyDescent="0.25">
      <c r="E115" s="18"/>
    </row>
    <row r="116" spans="5:6" x14ac:dyDescent="0.25">
      <c r="F116" s="18"/>
    </row>
  </sheetData>
  <autoFilter ref="A1:K9" xr:uid="{D3E998F4-AFEA-4CF4-BB53-16A9501F4B9C}"/>
  <conditionalFormatting sqref="G1:G6 G8:G9">
    <cfRule type="cellIs" dxfId="14" priority="1" operator="equal">
      <formula>"X"</formula>
    </cfRule>
    <cfRule type="cellIs" dxfId="13" priority="2" operator="equal">
      <formula>"N"</formula>
    </cfRule>
    <cfRule type="containsText" dxfId="12" priority="3" operator="containsText" text="SX">
      <formula>NOT(ISERROR(SEARCH("SX",G1)))</formula>
    </cfRule>
  </conditionalFormatting>
  <pageMargins left="0.7" right="0.7" top="0.75" bottom="0.75" header="0.3" footer="0.3"/>
  <pageSetup paperSize="9" scale="55" fitToHeight="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1C9A2-04DF-489E-8D52-DBCE1D937F2B}">
  <sheetPr>
    <tabColor rgb="FF00B050"/>
    <pageSetUpPr fitToPage="1"/>
  </sheetPr>
  <dimension ref="A1:L116"/>
  <sheetViews>
    <sheetView zoomScaleNormal="100" workbookViewId="0">
      <pane ySplit="1" topLeftCell="A2" activePane="bottomLeft" state="frozen"/>
      <selection activeCell="R29" sqref="R29"/>
      <selection pane="bottomLeft" activeCell="E17" sqref="E17"/>
    </sheetView>
  </sheetViews>
  <sheetFormatPr defaultColWidth="8.6640625" defaultRowHeight="13.8" x14ac:dyDescent="0.25"/>
  <cols>
    <col min="1" max="1" width="5.33203125" style="11" customWidth="1"/>
    <col min="2" max="2" width="80.88671875" style="4" customWidth="1"/>
    <col min="3" max="3" width="10.109375" style="9" customWidth="1"/>
    <col min="4" max="4" width="10.109375" style="4" customWidth="1"/>
    <col min="5" max="7" width="10.109375" style="9" customWidth="1"/>
    <col min="8" max="8" width="10.109375" style="4" customWidth="1"/>
    <col min="9" max="9" width="10.33203125" style="9" bestFit="1" customWidth="1"/>
    <col min="10" max="10" width="22" style="9" bestFit="1" customWidth="1"/>
    <col min="11" max="11" width="12.44140625" style="4" bestFit="1" customWidth="1"/>
    <col min="12" max="16384" width="8.6640625" style="4"/>
  </cols>
  <sheetData>
    <row r="1" spans="1:12" s="130" customFormat="1" ht="62.4" x14ac:dyDescent="0.3">
      <c r="A1" s="117" t="s">
        <v>952</v>
      </c>
      <c r="B1" s="115" t="s">
        <v>953</v>
      </c>
      <c r="C1" s="116" t="s">
        <v>40</v>
      </c>
      <c r="D1" s="114" t="s">
        <v>41</v>
      </c>
      <c r="E1" s="116" t="s">
        <v>42</v>
      </c>
      <c r="F1" s="116" t="s">
        <v>43</v>
      </c>
      <c r="G1" s="118" t="s">
        <v>44</v>
      </c>
      <c r="H1" s="119" t="s">
        <v>45</v>
      </c>
      <c r="I1" s="118" t="s">
        <v>46</v>
      </c>
      <c r="J1" s="120" t="s">
        <v>47</v>
      </c>
      <c r="K1" s="121" t="s">
        <v>41</v>
      </c>
      <c r="L1" s="214" t="s">
        <v>1000</v>
      </c>
    </row>
    <row r="2" spans="1:12" ht="15" x14ac:dyDescent="0.25">
      <c r="A2" s="69" t="s">
        <v>48</v>
      </c>
      <c r="B2" s="59" t="s">
        <v>954</v>
      </c>
      <c r="C2" s="60" t="s">
        <v>35</v>
      </c>
      <c r="D2" s="58"/>
      <c r="E2" s="52" t="s">
        <v>1</v>
      </c>
      <c r="F2" s="52" t="s">
        <v>2</v>
      </c>
      <c r="G2" s="61" t="s">
        <v>1</v>
      </c>
      <c r="H2" s="62" t="s">
        <v>916</v>
      </c>
      <c r="I2" s="61" t="s">
        <v>27</v>
      </c>
      <c r="J2" s="132" t="s">
        <v>35</v>
      </c>
      <c r="K2" s="131"/>
      <c r="L2" s="131" t="s">
        <v>1001</v>
      </c>
    </row>
    <row r="3" spans="1:12" ht="15" x14ac:dyDescent="0.25">
      <c r="A3" s="69" t="s">
        <v>51</v>
      </c>
      <c r="B3" s="63" t="s">
        <v>955</v>
      </c>
      <c r="C3" s="60" t="s">
        <v>35</v>
      </c>
      <c r="D3" s="58" t="s">
        <v>943</v>
      </c>
      <c r="E3" s="52" t="s">
        <v>2</v>
      </c>
      <c r="F3" s="52" t="s">
        <v>2</v>
      </c>
      <c r="G3" s="61" t="s">
        <v>2</v>
      </c>
      <c r="H3" s="62" t="s">
        <v>916</v>
      </c>
      <c r="I3" s="61" t="s">
        <v>27</v>
      </c>
      <c r="J3" s="132" t="s">
        <v>35</v>
      </c>
      <c r="K3" s="131"/>
      <c r="L3" s="131" t="s">
        <v>1001</v>
      </c>
    </row>
    <row r="4" spans="1:12" ht="15" x14ac:dyDescent="0.25">
      <c r="A4" s="69" t="s">
        <v>55</v>
      </c>
      <c r="B4" s="59" t="s">
        <v>956</v>
      </c>
      <c r="C4" s="60" t="s">
        <v>35</v>
      </c>
      <c r="D4" s="58"/>
      <c r="E4" s="52" t="s">
        <v>2</v>
      </c>
      <c r="F4" s="52" t="s">
        <v>2</v>
      </c>
      <c r="G4" s="61" t="s">
        <v>2</v>
      </c>
      <c r="H4" s="62" t="s">
        <v>916</v>
      </c>
      <c r="I4" s="61" t="s">
        <v>27</v>
      </c>
      <c r="J4" s="132" t="s">
        <v>35</v>
      </c>
      <c r="K4" s="131"/>
      <c r="L4" s="131" t="s">
        <v>1001</v>
      </c>
    </row>
    <row r="5" spans="1:12" ht="15.6" x14ac:dyDescent="0.3">
      <c r="A5" s="69" t="s">
        <v>63</v>
      </c>
      <c r="B5" s="63" t="s">
        <v>957</v>
      </c>
      <c r="C5" s="60" t="s">
        <v>35</v>
      </c>
      <c r="D5" s="64" t="s">
        <v>958</v>
      </c>
      <c r="E5" s="52" t="s">
        <v>2</v>
      </c>
      <c r="F5" s="52" t="s">
        <v>2</v>
      </c>
      <c r="G5" s="61" t="s">
        <v>2</v>
      </c>
      <c r="H5" s="62" t="s">
        <v>916</v>
      </c>
      <c r="I5" s="61" t="s">
        <v>27</v>
      </c>
      <c r="J5" s="132" t="s">
        <v>35</v>
      </c>
      <c r="K5" s="131"/>
      <c r="L5" s="131" t="s">
        <v>1001</v>
      </c>
    </row>
    <row r="6" spans="1:12" x14ac:dyDescent="0.25">
      <c r="A6" s="53"/>
      <c r="B6" s="65" t="s">
        <v>959</v>
      </c>
      <c r="C6" s="52" t="s">
        <v>35</v>
      </c>
      <c r="D6" s="65"/>
      <c r="E6" s="52" t="s">
        <v>2</v>
      </c>
      <c r="F6" s="52" t="s">
        <v>2</v>
      </c>
      <c r="G6" s="61" t="s">
        <v>2</v>
      </c>
      <c r="H6" s="62" t="s">
        <v>916</v>
      </c>
      <c r="I6" s="61" t="s">
        <v>27</v>
      </c>
      <c r="J6" s="132" t="s">
        <v>35</v>
      </c>
      <c r="K6" s="131"/>
      <c r="L6" s="131" t="s">
        <v>1001</v>
      </c>
    </row>
    <row r="7" spans="1:12" ht="15.6" x14ac:dyDescent="0.3">
      <c r="A7" s="68"/>
      <c r="B7" s="66" t="s">
        <v>960</v>
      </c>
      <c r="C7" s="67" t="s">
        <v>40</v>
      </c>
      <c r="D7" s="68" t="s">
        <v>41</v>
      </c>
      <c r="E7" s="68"/>
      <c r="F7" s="68"/>
      <c r="G7" s="68"/>
      <c r="H7" s="68"/>
      <c r="I7" s="67"/>
      <c r="J7" s="67"/>
      <c r="K7" s="68"/>
      <c r="L7" s="68"/>
    </row>
    <row r="8" spans="1:12" ht="15" x14ac:dyDescent="0.25">
      <c r="A8" s="69" t="s">
        <v>48</v>
      </c>
      <c r="B8" s="51" t="s">
        <v>961</v>
      </c>
      <c r="C8" s="52" t="s">
        <v>35</v>
      </c>
      <c r="D8" s="65"/>
      <c r="E8" s="52" t="s">
        <v>1</v>
      </c>
      <c r="F8" s="52"/>
      <c r="G8" s="61" t="s">
        <v>1</v>
      </c>
      <c r="H8" s="62" t="s">
        <v>916</v>
      </c>
      <c r="I8" s="61" t="s">
        <v>27</v>
      </c>
      <c r="J8" s="132" t="s">
        <v>35</v>
      </c>
      <c r="K8" s="131"/>
      <c r="L8" s="131" t="s">
        <v>1001</v>
      </c>
    </row>
    <row r="9" spans="1:12" ht="15" x14ac:dyDescent="0.25">
      <c r="A9" s="69" t="s">
        <v>131</v>
      </c>
      <c r="B9" s="51" t="s">
        <v>962</v>
      </c>
      <c r="C9" s="52" t="s">
        <v>35</v>
      </c>
      <c r="D9" s="65"/>
      <c r="E9" s="52" t="s">
        <v>1</v>
      </c>
      <c r="F9" s="52"/>
      <c r="G9" s="61" t="s">
        <v>1</v>
      </c>
      <c r="H9" s="62" t="s">
        <v>916</v>
      </c>
      <c r="I9" s="61" t="s">
        <v>27</v>
      </c>
      <c r="J9" s="132" t="s">
        <v>35</v>
      </c>
      <c r="K9" s="131"/>
      <c r="L9" s="131" t="s">
        <v>1001</v>
      </c>
    </row>
    <row r="10" spans="1:12" ht="15" x14ac:dyDescent="0.25">
      <c r="A10" s="69" t="s">
        <v>55</v>
      </c>
      <c r="B10" s="51" t="s">
        <v>963</v>
      </c>
      <c r="C10" s="52" t="s">
        <v>35</v>
      </c>
      <c r="D10" s="65"/>
      <c r="E10" s="52" t="s">
        <v>1</v>
      </c>
      <c r="F10" s="52"/>
      <c r="G10" s="61" t="s">
        <v>1</v>
      </c>
      <c r="H10" s="62" t="s">
        <v>916</v>
      </c>
      <c r="I10" s="61" t="s">
        <v>27</v>
      </c>
      <c r="J10" s="132" t="s">
        <v>35</v>
      </c>
      <c r="K10" s="131"/>
      <c r="L10" s="131" t="s">
        <v>1001</v>
      </c>
    </row>
    <row r="70" spans="6:6" x14ac:dyDescent="0.25">
      <c r="F70" s="57"/>
    </row>
    <row r="112" spans="5:5" x14ac:dyDescent="0.25">
      <c r="E112" s="57"/>
    </row>
    <row r="113" spans="5:6" x14ac:dyDescent="0.25">
      <c r="F113" s="57" t="s">
        <v>388</v>
      </c>
    </row>
    <row r="115" spans="5:6" x14ac:dyDescent="0.25">
      <c r="E115" s="57"/>
    </row>
    <row r="116" spans="5:6" x14ac:dyDescent="0.25">
      <c r="F116" s="57"/>
    </row>
  </sheetData>
  <autoFilter ref="A1:K10" xr:uid="{EE91C9A2-04DF-489E-8D52-DBCE1D937F2B}"/>
  <conditionalFormatting sqref="G1:G10">
    <cfRule type="cellIs" dxfId="11" priority="1" operator="equal">
      <formula>"X"</formula>
    </cfRule>
    <cfRule type="cellIs" dxfId="10" priority="2" operator="equal">
      <formula>"N"</formula>
    </cfRule>
    <cfRule type="containsText" dxfId="9" priority="3" operator="containsText" text="SX">
      <formula>NOT(ISERROR(SEARCH("SX",G1)))</formula>
    </cfRule>
  </conditionalFormatting>
  <pageMargins left="0.7" right="0.7" top="0.75" bottom="0.75" header="0.3" footer="0.3"/>
  <pageSetup paperSize="9" scale="55"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EF3A5-0CDA-4A35-BF64-F13E54EA9D14}">
  <sheetPr filterMode="1">
    <tabColor rgb="FF00B050"/>
    <pageSetUpPr fitToPage="1"/>
  </sheetPr>
  <dimension ref="A1:L20"/>
  <sheetViews>
    <sheetView zoomScaleNormal="100" workbookViewId="0">
      <pane ySplit="1" topLeftCell="A11" activePane="bottomLeft" state="frozen"/>
      <selection activeCell="R29" sqref="R29"/>
      <selection pane="bottomLeft" activeCell="L21" sqref="L21"/>
    </sheetView>
  </sheetViews>
  <sheetFormatPr defaultColWidth="8.6640625" defaultRowHeight="13.8" x14ac:dyDescent="0.25"/>
  <cols>
    <col min="1" max="1" width="5.33203125" style="11" customWidth="1"/>
    <col min="2" max="2" width="57.109375" style="4" customWidth="1"/>
    <col min="3" max="4" width="10.109375" style="9" customWidth="1"/>
    <col min="5" max="6" width="10.109375" style="3" customWidth="1"/>
    <col min="7" max="7" width="10.109375" style="9" customWidth="1"/>
    <col min="8" max="8" width="10.109375" style="4" customWidth="1"/>
    <col min="9" max="9" width="8.6640625" style="9"/>
    <col min="10" max="10" width="22" style="9" bestFit="1" customWidth="1"/>
    <col min="11" max="11" width="12.44140625" style="4" bestFit="1" customWidth="1"/>
    <col min="12" max="16384" width="8.6640625" style="4"/>
  </cols>
  <sheetData>
    <row r="1" spans="1:12" s="130" customFormat="1" ht="62.4" x14ac:dyDescent="0.3">
      <c r="A1" s="117" t="s">
        <v>964</v>
      </c>
      <c r="B1" s="115" t="s">
        <v>965</v>
      </c>
      <c r="C1" s="116" t="s">
        <v>40</v>
      </c>
      <c r="D1" s="116" t="s">
        <v>41</v>
      </c>
      <c r="E1" s="116" t="s">
        <v>42</v>
      </c>
      <c r="F1" s="116" t="s">
        <v>43</v>
      </c>
      <c r="G1" s="118" t="s">
        <v>44</v>
      </c>
      <c r="H1" s="119" t="s">
        <v>45</v>
      </c>
      <c r="I1" s="118" t="s">
        <v>46</v>
      </c>
      <c r="J1" s="120" t="s">
        <v>47</v>
      </c>
      <c r="K1" s="121" t="s">
        <v>41</v>
      </c>
      <c r="L1" s="214" t="s">
        <v>1000</v>
      </c>
    </row>
    <row r="2" spans="1:12" ht="15" x14ac:dyDescent="0.25">
      <c r="A2" s="44" t="s">
        <v>966</v>
      </c>
      <c r="B2" s="43" t="s">
        <v>967</v>
      </c>
      <c r="C2" s="33" t="s">
        <v>35</v>
      </c>
      <c r="D2" s="33"/>
      <c r="E2" s="54" t="s">
        <v>1</v>
      </c>
      <c r="F2" s="54" t="s">
        <v>2</v>
      </c>
      <c r="G2" s="46" t="s">
        <v>1</v>
      </c>
      <c r="H2" s="47" t="s">
        <v>916</v>
      </c>
      <c r="I2" s="46" t="s">
        <v>29</v>
      </c>
      <c r="J2" s="122" t="s">
        <v>35</v>
      </c>
      <c r="K2" s="123"/>
    </row>
    <row r="3" spans="1:12" ht="15" x14ac:dyDescent="0.25">
      <c r="A3" s="44" t="s">
        <v>968</v>
      </c>
      <c r="B3" s="43" t="s">
        <v>969</v>
      </c>
      <c r="C3" s="33" t="s">
        <v>35</v>
      </c>
      <c r="D3" s="33"/>
      <c r="E3" s="54" t="s">
        <v>1</v>
      </c>
      <c r="F3" s="54" t="s">
        <v>2</v>
      </c>
      <c r="G3" s="46" t="s">
        <v>1</v>
      </c>
      <c r="H3" s="47" t="s">
        <v>916</v>
      </c>
      <c r="I3" s="46" t="s">
        <v>29</v>
      </c>
      <c r="J3" s="122" t="s">
        <v>35</v>
      </c>
      <c r="K3" s="123"/>
    </row>
    <row r="4" spans="1:12" ht="15" x14ac:dyDescent="0.25">
      <c r="A4" s="44" t="s">
        <v>51</v>
      </c>
      <c r="B4" s="36" t="s">
        <v>970</v>
      </c>
      <c r="C4" s="33" t="s">
        <v>35</v>
      </c>
      <c r="D4" s="33"/>
      <c r="E4" s="54" t="s">
        <v>1</v>
      </c>
      <c r="F4" s="54" t="s">
        <v>2</v>
      </c>
      <c r="G4" s="46" t="s">
        <v>1</v>
      </c>
      <c r="H4" s="47" t="s">
        <v>916</v>
      </c>
      <c r="I4" s="46" t="s">
        <v>29</v>
      </c>
      <c r="J4" s="122" t="s">
        <v>35</v>
      </c>
      <c r="K4" s="123"/>
    </row>
    <row r="5" spans="1:12" ht="15" x14ac:dyDescent="0.25">
      <c r="A5" s="44" t="s">
        <v>55</v>
      </c>
      <c r="B5" s="36" t="s">
        <v>971</v>
      </c>
      <c r="C5" s="33" t="s">
        <v>35</v>
      </c>
      <c r="D5" s="33"/>
      <c r="E5" s="54" t="s">
        <v>2</v>
      </c>
      <c r="F5" s="54" t="s">
        <v>2</v>
      </c>
      <c r="G5" s="46" t="s">
        <v>2</v>
      </c>
      <c r="H5" s="47" t="s">
        <v>916</v>
      </c>
      <c r="I5" s="46" t="s">
        <v>29</v>
      </c>
      <c r="J5" s="122" t="s">
        <v>35</v>
      </c>
      <c r="K5" s="123"/>
    </row>
    <row r="6" spans="1:12" ht="15" x14ac:dyDescent="0.25">
      <c r="A6" s="44" t="s">
        <v>63</v>
      </c>
      <c r="B6" s="36" t="s">
        <v>972</v>
      </c>
      <c r="C6" s="33" t="s">
        <v>35</v>
      </c>
      <c r="D6" s="33"/>
      <c r="E6" s="54" t="s">
        <v>1</v>
      </c>
      <c r="F6" s="54" t="s">
        <v>2</v>
      </c>
      <c r="G6" s="46" t="s">
        <v>1</v>
      </c>
      <c r="H6" s="47" t="s">
        <v>916</v>
      </c>
      <c r="I6" s="46" t="s">
        <v>29</v>
      </c>
      <c r="J6" s="122" t="s">
        <v>35</v>
      </c>
      <c r="K6" s="123"/>
    </row>
    <row r="7" spans="1:12" ht="15" x14ac:dyDescent="0.25">
      <c r="A7" s="44" t="s">
        <v>68</v>
      </c>
      <c r="B7" s="36" t="s">
        <v>973</v>
      </c>
      <c r="C7" s="33" t="s">
        <v>35</v>
      </c>
      <c r="D7" s="33"/>
      <c r="E7" s="54" t="s">
        <v>1</v>
      </c>
      <c r="F7" s="54" t="s">
        <v>2</v>
      </c>
      <c r="G7" s="46" t="s">
        <v>1</v>
      </c>
      <c r="H7" s="47" t="s">
        <v>916</v>
      </c>
      <c r="I7" s="46" t="s">
        <v>29</v>
      </c>
      <c r="J7" s="122" t="s">
        <v>35</v>
      </c>
      <c r="K7" s="123"/>
    </row>
    <row r="8" spans="1:12" ht="15" x14ac:dyDescent="0.25">
      <c r="A8" s="235" t="s">
        <v>72</v>
      </c>
      <c r="B8" s="31" t="s">
        <v>974</v>
      </c>
      <c r="C8" s="33" t="s">
        <v>35</v>
      </c>
      <c r="D8" s="33"/>
      <c r="E8" s="54" t="s">
        <v>2</v>
      </c>
      <c r="F8" s="54" t="s">
        <v>2</v>
      </c>
      <c r="G8" s="46" t="s">
        <v>2</v>
      </c>
      <c r="H8" s="47" t="s">
        <v>916</v>
      </c>
      <c r="I8" s="46" t="s">
        <v>29</v>
      </c>
      <c r="J8" s="122" t="s">
        <v>35</v>
      </c>
      <c r="K8" s="123"/>
    </row>
    <row r="9" spans="1:12" ht="15" x14ac:dyDescent="0.25">
      <c r="A9" s="235"/>
      <c r="B9" s="31" t="s">
        <v>975</v>
      </c>
      <c r="C9" s="33" t="s">
        <v>35</v>
      </c>
      <c r="D9" s="33"/>
      <c r="E9" s="54" t="s">
        <v>1</v>
      </c>
      <c r="F9" s="54" t="s">
        <v>2</v>
      </c>
      <c r="G9" s="46" t="s">
        <v>1</v>
      </c>
      <c r="H9" s="47" t="s">
        <v>916</v>
      </c>
      <c r="I9" s="46" t="s">
        <v>29</v>
      </c>
      <c r="J9" s="122" t="s">
        <v>35</v>
      </c>
      <c r="K9" s="123"/>
    </row>
    <row r="10" spans="1:12" ht="17.399999999999999" x14ac:dyDescent="0.25">
      <c r="A10" s="235"/>
      <c r="B10" s="48" t="s">
        <v>976</v>
      </c>
      <c r="C10" s="33" t="s">
        <v>35</v>
      </c>
      <c r="D10" s="33"/>
      <c r="E10" s="54" t="s">
        <v>2</v>
      </c>
      <c r="F10" s="54" t="s">
        <v>2</v>
      </c>
      <c r="G10" s="46" t="s">
        <v>2</v>
      </c>
      <c r="H10" s="47" t="s">
        <v>916</v>
      </c>
      <c r="I10" s="46" t="s">
        <v>29</v>
      </c>
      <c r="J10" s="122" t="s">
        <v>35</v>
      </c>
      <c r="K10" s="123"/>
    </row>
    <row r="11" spans="1:12" ht="17.399999999999999" x14ac:dyDescent="0.25">
      <c r="A11" s="235"/>
      <c r="B11" s="31" t="s">
        <v>977</v>
      </c>
      <c r="C11" s="33" t="s">
        <v>35</v>
      </c>
      <c r="D11" s="33"/>
      <c r="E11" s="54" t="s">
        <v>1</v>
      </c>
      <c r="F11" s="54" t="s">
        <v>2</v>
      </c>
      <c r="G11" s="46" t="s">
        <v>1</v>
      </c>
      <c r="H11" s="47" t="s">
        <v>916</v>
      </c>
      <c r="I11" s="46" t="s">
        <v>29</v>
      </c>
      <c r="J11" s="122" t="s">
        <v>35</v>
      </c>
      <c r="K11" s="123"/>
      <c r="L11" s="123" t="s">
        <v>1001</v>
      </c>
    </row>
    <row r="12" spans="1:12" ht="17.399999999999999" x14ac:dyDescent="0.25">
      <c r="A12" s="235"/>
      <c r="B12" s="31" t="s">
        <v>978</v>
      </c>
      <c r="C12" s="33" t="s">
        <v>35</v>
      </c>
      <c r="D12" s="33"/>
      <c r="E12" s="54" t="s">
        <v>2</v>
      </c>
      <c r="F12" s="54" t="s">
        <v>2</v>
      </c>
      <c r="G12" s="46" t="s">
        <v>2</v>
      </c>
      <c r="H12" s="47" t="s">
        <v>916</v>
      </c>
      <c r="I12" s="46" t="s">
        <v>29</v>
      </c>
      <c r="J12" s="122" t="s">
        <v>35</v>
      </c>
      <c r="K12" s="123"/>
      <c r="L12" s="123" t="s">
        <v>1001</v>
      </c>
    </row>
    <row r="13" spans="1:12" ht="15" x14ac:dyDescent="0.25">
      <c r="A13" s="44"/>
      <c r="B13" s="48" t="s">
        <v>979</v>
      </c>
      <c r="C13" s="33" t="s">
        <v>35</v>
      </c>
      <c r="D13" s="33"/>
      <c r="E13" s="54" t="s">
        <v>1</v>
      </c>
      <c r="F13" s="54"/>
      <c r="G13" s="46" t="s">
        <v>1</v>
      </c>
      <c r="H13" s="47" t="s">
        <v>916</v>
      </c>
      <c r="I13" s="46" t="s">
        <v>29</v>
      </c>
      <c r="J13" s="122" t="s">
        <v>35</v>
      </c>
      <c r="K13" s="123"/>
      <c r="L13" s="123" t="s">
        <v>1001</v>
      </c>
    </row>
    <row r="14" spans="1:12" x14ac:dyDescent="0.25">
      <c r="A14" s="70"/>
      <c r="B14" s="49" t="s">
        <v>811</v>
      </c>
      <c r="C14" s="50"/>
      <c r="D14" s="50"/>
      <c r="E14" s="50"/>
      <c r="F14" s="50"/>
      <c r="G14" s="50"/>
      <c r="H14" s="50"/>
      <c r="I14" s="50"/>
      <c r="J14" s="50"/>
      <c r="K14" s="50"/>
      <c r="L14" s="50" t="s">
        <v>1001</v>
      </c>
    </row>
    <row r="15" spans="1:12" x14ac:dyDescent="0.25">
      <c r="A15" s="53"/>
      <c r="B15" s="51" t="s">
        <v>980</v>
      </c>
      <c r="C15" s="52" t="s">
        <v>35</v>
      </c>
      <c r="D15" s="52"/>
      <c r="E15" s="54" t="s">
        <v>1</v>
      </c>
      <c r="F15" s="54"/>
      <c r="G15" s="46" t="s">
        <v>1</v>
      </c>
      <c r="H15" s="47" t="s">
        <v>916</v>
      </c>
      <c r="I15" s="46" t="s">
        <v>29</v>
      </c>
      <c r="J15" s="122" t="s">
        <v>35</v>
      </c>
      <c r="K15" s="123"/>
      <c r="L15" s="123" t="s">
        <v>1001</v>
      </c>
    </row>
    <row r="16" spans="1:12" x14ac:dyDescent="0.25">
      <c r="A16" s="53"/>
      <c r="B16" s="51" t="s">
        <v>981</v>
      </c>
      <c r="C16" s="52" t="s">
        <v>35</v>
      </c>
      <c r="D16" s="52"/>
      <c r="E16" s="54" t="s">
        <v>1</v>
      </c>
      <c r="F16" s="54"/>
      <c r="G16" s="46" t="s">
        <v>1</v>
      </c>
      <c r="H16" s="47" t="s">
        <v>916</v>
      </c>
      <c r="I16" s="46" t="s">
        <v>29</v>
      </c>
      <c r="J16" s="122" t="s">
        <v>35</v>
      </c>
      <c r="K16" s="123"/>
      <c r="L16" s="123" t="s">
        <v>1001</v>
      </c>
    </row>
    <row r="17" spans="1:12" ht="15.6" x14ac:dyDescent="0.25">
      <c r="A17" s="42"/>
      <c r="B17" s="29" t="s">
        <v>982</v>
      </c>
      <c r="C17" s="30" t="s">
        <v>40</v>
      </c>
      <c r="D17" s="30" t="s">
        <v>41</v>
      </c>
      <c r="E17" s="30"/>
      <c r="F17" s="30"/>
      <c r="G17" s="30"/>
      <c r="H17" s="30"/>
      <c r="I17" s="30"/>
      <c r="J17" s="30"/>
      <c r="K17" s="30"/>
      <c r="L17" s="30"/>
    </row>
    <row r="18" spans="1:12" x14ac:dyDescent="0.25">
      <c r="A18" s="45" t="s">
        <v>129</v>
      </c>
      <c r="B18" s="55" t="s">
        <v>983</v>
      </c>
      <c r="C18" s="52" t="s">
        <v>35</v>
      </c>
      <c r="D18" s="52"/>
      <c r="E18" s="54" t="s">
        <v>1</v>
      </c>
      <c r="F18" s="54"/>
      <c r="G18" s="46" t="s">
        <v>1</v>
      </c>
      <c r="H18" s="47" t="s">
        <v>916</v>
      </c>
      <c r="I18" s="46" t="s">
        <v>29</v>
      </c>
      <c r="J18" s="122" t="s">
        <v>35</v>
      </c>
      <c r="K18" s="123"/>
      <c r="L18" s="123" t="s">
        <v>1001</v>
      </c>
    </row>
    <row r="19" spans="1:12" ht="15" x14ac:dyDescent="0.25">
      <c r="A19" s="53"/>
      <c r="B19" s="56" t="s">
        <v>984</v>
      </c>
      <c r="C19" s="52" t="s">
        <v>35</v>
      </c>
      <c r="D19" s="52"/>
      <c r="E19" s="54" t="s">
        <v>1</v>
      </c>
      <c r="F19" s="54"/>
      <c r="G19" s="46" t="s">
        <v>1</v>
      </c>
      <c r="H19" s="47" t="s">
        <v>916</v>
      </c>
      <c r="I19" s="46" t="s">
        <v>29</v>
      </c>
      <c r="J19" s="122" t="s">
        <v>35</v>
      </c>
      <c r="K19" s="123"/>
      <c r="L19" s="123" t="s">
        <v>1001</v>
      </c>
    </row>
    <row r="20" spans="1:12" ht="15" hidden="1" x14ac:dyDescent="0.25">
      <c r="A20" s="53"/>
      <c r="B20" s="56" t="s">
        <v>985</v>
      </c>
      <c r="C20" s="52" t="s">
        <v>37</v>
      </c>
      <c r="D20" s="52" t="s">
        <v>523</v>
      </c>
      <c r="E20" s="54" t="s">
        <v>2</v>
      </c>
      <c r="F20" s="54"/>
      <c r="G20" s="46" t="s">
        <v>36</v>
      </c>
      <c r="H20" s="47" t="s">
        <v>102</v>
      </c>
      <c r="I20" s="46" t="s">
        <v>29</v>
      </c>
      <c r="J20" s="122"/>
      <c r="K20" s="123"/>
    </row>
  </sheetData>
  <autoFilter ref="A1:K20" xr:uid="{054EF3A5-0CDA-4A35-BF64-F13E54EA9D14}">
    <filterColumn colId="6">
      <filters blank="1">
        <filter val="SX"/>
        <filter val="X"/>
      </filters>
    </filterColumn>
  </autoFilter>
  <mergeCells count="1">
    <mergeCell ref="A8:A12"/>
  </mergeCells>
  <conditionalFormatting sqref="G1:G20">
    <cfRule type="cellIs" dxfId="8" priority="1" operator="equal">
      <formula>"X"</formula>
    </cfRule>
    <cfRule type="cellIs" dxfId="7" priority="2" operator="equal">
      <formula>"N"</formula>
    </cfRule>
    <cfRule type="containsText" dxfId="6" priority="3" operator="containsText" text="SX">
      <formula>NOT(ISERROR(SEARCH("SX",G1)))</formula>
    </cfRule>
  </conditionalFormatting>
  <pageMargins left="0.7" right="0.7" top="0.75" bottom="0.75" header="0.3" footer="0.3"/>
  <pageSetup paperSize="9" scale="55"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E939-9D1F-4CCA-AD0F-8A8ED33FA5A3}">
  <sheetPr>
    <tabColor rgb="FF00B050"/>
    <pageSetUpPr fitToPage="1"/>
  </sheetPr>
  <dimension ref="A1:L5"/>
  <sheetViews>
    <sheetView zoomScaleNormal="100" workbookViewId="0">
      <pane ySplit="1" topLeftCell="A2" activePane="bottomLeft" state="frozen"/>
      <selection activeCell="R29" sqref="R29"/>
      <selection pane="bottomLeft" activeCell="L6" sqref="L6"/>
    </sheetView>
  </sheetViews>
  <sheetFormatPr defaultColWidth="8.6640625" defaultRowHeight="15" x14ac:dyDescent="0.25"/>
  <cols>
    <col min="1" max="1" width="5.33203125" style="14" customWidth="1"/>
    <col min="2" max="2" width="71" style="14" customWidth="1"/>
    <col min="3" max="4" width="10.109375" style="22" customWidth="1"/>
    <col min="5" max="6" width="10.109375" style="17" customWidth="1"/>
    <col min="7" max="7" width="10.109375" style="22" customWidth="1"/>
    <col min="8" max="8" width="10.109375" style="14" customWidth="1"/>
    <col min="9" max="9" width="8.6640625" style="22"/>
    <col min="10" max="10" width="22" style="14" bestFit="1" customWidth="1"/>
    <col min="11" max="11" width="12.44140625" style="14" bestFit="1" customWidth="1"/>
    <col min="12" max="16384" width="8.6640625" style="14"/>
  </cols>
  <sheetData>
    <row r="1" spans="1:12" s="113" customFormat="1" ht="62.4" x14ac:dyDescent="0.3">
      <c r="A1" s="114" t="s">
        <v>986</v>
      </c>
      <c r="B1" s="115" t="s">
        <v>987</v>
      </c>
      <c r="C1" s="116" t="s">
        <v>40</v>
      </c>
      <c r="D1" s="116" t="s">
        <v>41</v>
      </c>
      <c r="E1" s="116" t="s">
        <v>42</v>
      </c>
      <c r="F1" s="116" t="s">
        <v>43</v>
      </c>
      <c r="G1" s="118" t="s">
        <v>44</v>
      </c>
      <c r="H1" s="119" t="s">
        <v>45</v>
      </c>
      <c r="I1" s="118" t="s">
        <v>46</v>
      </c>
      <c r="J1" s="120" t="s">
        <v>47</v>
      </c>
      <c r="K1" s="121" t="s">
        <v>41</v>
      </c>
      <c r="L1" s="214" t="s">
        <v>1000</v>
      </c>
    </row>
    <row r="2" spans="1:12" x14ac:dyDescent="0.25">
      <c r="A2" s="31" t="s">
        <v>48</v>
      </c>
      <c r="B2" s="32" t="s">
        <v>988</v>
      </c>
      <c r="C2" s="33" t="s">
        <v>35</v>
      </c>
      <c r="D2" s="33"/>
      <c r="E2" s="33" t="s">
        <v>1</v>
      </c>
      <c r="F2" s="33" t="s">
        <v>2</v>
      </c>
      <c r="G2" s="34" t="s">
        <v>1</v>
      </c>
      <c r="H2" s="35" t="s">
        <v>916</v>
      </c>
      <c r="I2" s="34" t="s">
        <v>31</v>
      </c>
      <c r="J2" s="133" t="s">
        <v>35</v>
      </c>
      <c r="K2" s="133"/>
      <c r="L2" s="133" t="s">
        <v>1001</v>
      </c>
    </row>
    <row r="3" spans="1:12" x14ac:dyDescent="0.25">
      <c r="A3" s="31" t="s">
        <v>131</v>
      </c>
      <c r="B3" s="36" t="s">
        <v>989</v>
      </c>
      <c r="C3" s="33" t="s">
        <v>35</v>
      </c>
      <c r="D3" s="33"/>
      <c r="E3" s="33" t="s">
        <v>1</v>
      </c>
      <c r="F3" s="33" t="s">
        <v>2</v>
      </c>
      <c r="G3" s="34" t="s">
        <v>1</v>
      </c>
      <c r="H3" s="35" t="s">
        <v>916</v>
      </c>
      <c r="I3" s="34" t="s">
        <v>31</v>
      </c>
      <c r="J3" s="133" t="s">
        <v>35</v>
      </c>
      <c r="K3" s="133"/>
      <c r="L3" s="133" t="s">
        <v>1001</v>
      </c>
    </row>
    <row r="4" spans="1:12" x14ac:dyDescent="0.25">
      <c r="A4" s="31" t="s">
        <v>55</v>
      </c>
      <c r="B4" s="36" t="s">
        <v>990</v>
      </c>
      <c r="C4" s="33" t="s">
        <v>35</v>
      </c>
      <c r="D4" s="33"/>
      <c r="E4" s="33" t="s">
        <v>1</v>
      </c>
      <c r="F4" s="33" t="s">
        <v>2</v>
      </c>
      <c r="G4" s="34" t="s">
        <v>1</v>
      </c>
      <c r="H4" s="35" t="s">
        <v>916</v>
      </c>
      <c r="I4" s="34" t="s">
        <v>31</v>
      </c>
      <c r="J4" s="133" t="s">
        <v>35</v>
      </c>
      <c r="K4" s="133"/>
      <c r="L4" s="133" t="s">
        <v>1001</v>
      </c>
    </row>
    <row r="5" spans="1:12" x14ac:dyDescent="0.25">
      <c r="A5" s="31" t="s">
        <v>63</v>
      </c>
      <c r="B5" s="36" t="s">
        <v>991</v>
      </c>
      <c r="C5" s="33" t="s">
        <v>35</v>
      </c>
      <c r="D5" s="33"/>
      <c r="E5" s="33" t="s">
        <v>2</v>
      </c>
      <c r="F5" s="33" t="s">
        <v>2</v>
      </c>
      <c r="G5" s="34" t="s">
        <v>2</v>
      </c>
      <c r="H5" s="35" t="s">
        <v>916</v>
      </c>
      <c r="I5" s="34" t="s">
        <v>31</v>
      </c>
      <c r="J5" s="133" t="s">
        <v>35</v>
      </c>
      <c r="K5" s="133"/>
      <c r="L5" s="133" t="s">
        <v>1001</v>
      </c>
    </row>
  </sheetData>
  <autoFilter ref="A1:K5" xr:uid="{DFCCE939-9D1F-4CCA-AD0F-8A8ED33FA5A3}"/>
  <conditionalFormatting sqref="G1:G5">
    <cfRule type="cellIs" dxfId="5" priority="1" operator="equal">
      <formula>"X"</formula>
    </cfRule>
    <cfRule type="cellIs" dxfId="4" priority="2" operator="equal">
      <formula>"N"</formula>
    </cfRule>
    <cfRule type="containsText" dxfId="3" priority="3" operator="containsText" text="SX">
      <formula>NOT(ISERROR(SEARCH("SX",G1)))</formula>
    </cfRule>
  </conditionalFormatting>
  <pageMargins left="0.7" right="0.7" top="0.75" bottom="0.75" header="0.3" footer="0.3"/>
  <pageSetup paperSize="9" scale="55"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71917-12D6-44E1-BFEA-CA4F137EAAA5}">
  <sheetPr>
    <tabColor rgb="FF00B050"/>
    <pageSetUpPr fitToPage="1"/>
  </sheetPr>
  <dimension ref="A1:L9"/>
  <sheetViews>
    <sheetView zoomScaleNormal="100" workbookViewId="0">
      <pane ySplit="1" topLeftCell="A2" activePane="bottomLeft" state="frozen"/>
      <selection activeCell="R29" sqref="R29"/>
      <selection pane="bottomLeft" activeCell="C20" sqref="C20"/>
    </sheetView>
  </sheetViews>
  <sheetFormatPr defaultColWidth="8.6640625" defaultRowHeight="15" x14ac:dyDescent="0.3"/>
  <cols>
    <col min="1" max="1" width="5.33203125" style="20" customWidth="1"/>
    <col min="2" max="2" width="63.44140625" style="15" customWidth="1"/>
    <col min="3" max="3" width="10.109375" style="17" customWidth="1"/>
    <col min="4" max="6" width="10.109375" style="15" customWidth="1"/>
    <col min="7" max="8" width="10.109375" style="20" customWidth="1"/>
    <col min="9" max="9" width="14.6640625" style="20" bestFit="1" customWidth="1"/>
    <col min="10" max="10" width="22" style="20" bestFit="1" customWidth="1"/>
    <col min="11" max="11" width="12.44140625" style="20" bestFit="1" customWidth="1"/>
    <col min="12" max="16384" width="8.6640625" style="20"/>
  </cols>
  <sheetData>
    <row r="1" spans="1:12" s="113" customFormat="1" ht="62.4" x14ac:dyDescent="0.3">
      <c r="A1" s="116" t="s">
        <v>992</v>
      </c>
      <c r="B1" s="136" t="s">
        <v>993</v>
      </c>
      <c r="C1" s="116" t="s">
        <v>40</v>
      </c>
      <c r="D1" s="116" t="s">
        <v>41</v>
      </c>
      <c r="E1" s="116" t="s">
        <v>42</v>
      </c>
      <c r="F1" s="116" t="s">
        <v>43</v>
      </c>
      <c r="G1" s="118" t="s">
        <v>44</v>
      </c>
      <c r="H1" s="118" t="s">
        <v>45</v>
      </c>
      <c r="I1" s="118" t="s">
        <v>46</v>
      </c>
      <c r="J1" s="120" t="s">
        <v>47</v>
      </c>
      <c r="K1" s="121" t="s">
        <v>41</v>
      </c>
      <c r="L1" s="214" t="s">
        <v>1000</v>
      </c>
    </row>
    <row r="2" spans="1:12" x14ac:dyDescent="0.3">
      <c r="A2" s="33" t="s">
        <v>48</v>
      </c>
      <c r="B2" s="37" t="s">
        <v>994</v>
      </c>
      <c r="C2" s="33" t="s">
        <v>35</v>
      </c>
      <c r="D2" s="33"/>
      <c r="E2" s="33" t="s">
        <v>1</v>
      </c>
      <c r="F2" s="33" t="s">
        <v>2</v>
      </c>
      <c r="G2" s="34" t="s">
        <v>1</v>
      </c>
      <c r="H2" s="34" t="s">
        <v>916</v>
      </c>
      <c r="I2" s="34" t="s">
        <v>33</v>
      </c>
      <c r="J2" s="110" t="s">
        <v>35</v>
      </c>
      <c r="K2" s="110"/>
      <c r="L2" s="110" t="s">
        <v>1001</v>
      </c>
    </row>
    <row r="3" spans="1:12" x14ac:dyDescent="0.3">
      <c r="A3" s="33" t="s">
        <v>51</v>
      </c>
      <c r="B3" s="38" t="s">
        <v>995</v>
      </c>
      <c r="C3" s="33" t="s">
        <v>35</v>
      </c>
      <c r="D3" s="33"/>
      <c r="E3" s="33" t="s">
        <v>1</v>
      </c>
      <c r="F3" s="33" t="s">
        <v>2</v>
      </c>
      <c r="G3" s="34" t="s">
        <v>1</v>
      </c>
      <c r="H3" s="34" t="s">
        <v>916</v>
      </c>
      <c r="I3" s="34" t="s">
        <v>33</v>
      </c>
      <c r="J3" s="110" t="s">
        <v>35</v>
      </c>
      <c r="K3" s="110"/>
      <c r="L3" s="110" t="s">
        <v>1001</v>
      </c>
    </row>
    <row r="4" spans="1:12" x14ac:dyDescent="0.3">
      <c r="A4" s="33" t="s">
        <v>134</v>
      </c>
      <c r="B4" s="37" t="s">
        <v>996</v>
      </c>
      <c r="C4" s="33" t="s">
        <v>35</v>
      </c>
      <c r="D4" s="33"/>
      <c r="E4" s="33" t="s">
        <v>2</v>
      </c>
      <c r="F4" s="33" t="s">
        <v>2</v>
      </c>
      <c r="G4" s="34" t="s">
        <v>2</v>
      </c>
      <c r="H4" s="34" t="s">
        <v>916</v>
      </c>
      <c r="I4" s="34" t="s">
        <v>33</v>
      </c>
      <c r="J4" s="110" t="s">
        <v>35</v>
      </c>
      <c r="K4" s="110"/>
      <c r="L4" s="110" t="s">
        <v>1001</v>
      </c>
    </row>
    <row r="5" spans="1:12" x14ac:dyDescent="0.3">
      <c r="A5" s="33" t="s">
        <v>63</v>
      </c>
      <c r="B5" s="37" t="s">
        <v>997</v>
      </c>
      <c r="C5" s="33" t="s">
        <v>35</v>
      </c>
      <c r="D5" s="33"/>
      <c r="E5" s="33" t="s">
        <v>2</v>
      </c>
      <c r="F5" s="33" t="s">
        <v>2</v>
      </c>
      <c r="G5" s="34" t="s">
        <v>2</v>
      </c>
      <c r="H5" s="34" t="s">
        <v>916</v>
      </c>
      <c r="I5" s="34" t="s">
        <v>33</v>
      </c>
      <c r="J5" s="110" t="s">
        <v>35</v>
      </c>
      <c r="K5" s="110"/>
      <c r="L5" s="110" t="s">
        <v>1001</v>
      </c>
    </row>
    <row r="6" spans="1:12" x14ac:dyDescent="0.3">
      <c r="A6" s="39"/>
      <c r="B6" s="40" t="s">
        <v>811</v>
      </c>
      <c r="C6" s="39"/>
      <c r="D6" s="39"/>
      <c r="E6" s="39"/>
      <c r="F6" s="39"/>
      <c r="G6" s="39"/>
      <c r="H6" s="39"/>
      <c r="I6" s="39"/>
      <c r="J6" s="39"/>
      <c r="K6" s="39"/>
      <c r="L6" s="39"/>
    </row>
    <row r="7" spans="1:12" x14ac:dyDescent="0.3">
      <c r="A7" s="33"/>
      <c r="B7" s="41" t="s">
        <v>852</v>
      </c>
      <c r="C7" s="33" t="s">
        <v>35</v>
      </c>
      <c r="D7" s="33"/>
      <c r="E7" s="33" t="s">
        <v>2</v>
      </c>
      <c r="F7" s="33"/>
      <c r="G7" s="34" t="s">
        <v>2</v>
      </c>
      <c r="H7" s="34" t="s">
        <v>916</v>
      </c>
      <c r="I7" s="34" t="s">
        <v>33</v>
      </c>
      <c r="J7" s="110" t="s">
        <v>35</v>
      </c>
      <c r="K7" s="110"/>
      <c r="L7" s="110" t="s">
        <v>1001</v>
      </c>
    </row>
    <row r="8" spans="1:12" x14ac:dyDescent="0.3">
      <c r="A8" s="33"/>
      <c r="B8" s="41" t="s">
        <v>998</v>
      </c>
      <c r="C8" s="33" t="s">
        <v>35</v>
      </c>
      <c r="D8" s="33"/>
      <c r="E8" s="33" t="s">
        <v>1</v>
      </c>
      <c r="F8" s="33"/>
      <c r="G8" s="34" t="s">
        <v>1</v>
      </c>
      <c r="H8" s="34" t="s">
        <v>916</v>
      </c>
      <c r="I8" s="34" t="s">
        <v>33</v>
      </c>
      <c r="J8" s="110" t="s">
        <v>35</v>
      </c>
      <c r="K8" s="110"/>
      <c r="L8" s="110" t="s">
        <v>1001</v>
      </c>
    </row>
    <row r="9" spans="1:12" x14ac:dyDescent="0.3">
      <c r="A9" s="33"/>
      <c r="B9" s="41" t="s">
        <v>999</v>
      </c>
      <c r="C9" s="33" t="s">
        <v>35</v>
      </c>
      <c r="D9" s="33"/>
      <c r="E9" s="33" t="s">
        <v>1</v>
      </c>
      <c r="F9" s="33"/>
      <c r="G9" s="34" t="s">
        <v>1</v>
      </c>
      <c r="H9" s="34" t="s">
        <v>916</v>
      </c>
      <c r="I9" s="34" t="s">
        <v>33</v>
      </c>
      <c r="J9" s="110" t="s">
        <v>35</v>
      </c>
      <c r="K9" s="110"/>
      <c r="L9" s="110" t="s">
        <v>1001</v>
      </c>
    </row>
  </sheetData>
  <autoFilter ref="A1:K9" xr:uid="{03971917-12D6-44E1-BFEA-CA4F137EAAA5}"/>
  <conditionalFormatting sqref="G1:G9">
    <cfRule type="cellIs" dxfId="2" priority="1" operator="equal">
      <formula>"X"</formula>
    </cfRule>
    <cfRule type="cellIs" dxfId="1" priority="2" operator="equal">
      <formula>"N"</formula>
    </cfRule>
    <cfRule type="containsText" dxfId="0" priority="3" operator="containsText" text="SX">
      <formula>NOT(ISERROR(SEARCH("SX",G1)))</formula>
    </cfRule>
  </conditionalFormatting>
  <pageMargins left="0.7" right="0.7" top="0.75" bottom="0.75" header="0.3" footer="0.3"/>
  <pageSetup paperSize="9" scale="55"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468E2B6368964AA00861FEA82D6D72" ma:contentTypeVersion="18" ma:contentTypeDescription="Create a new document." ma:contentTypeScope="" ma:versionID="2182be20e8eda6dd5d006095aa6dffb9">
  <xsd:schema xmlns:xsd="http://www.w3.org/2001/XMLSchema" xmlns:xs="http://www.w3.org/2001/XMLSchema" xmlns:p="http://schemas.microsoft.com/office/2006/metadata/properties" xmlns:ns2="cb33a356-f24e-479a-904f-f7f4fc300393" xmlns:ns3="91b4482e-1f40-466b-b6ed-6519c33e4746" targetNamespace="http://schemas.microsoft.com/office/2006/metadata/properties" ma:root="true" ma:fieldsID="e1a5493324a3dfe848330b4acb71a2e1" ns2:_="" ns3:_="">
    <xsd:import namespace="cb33a356-f24e-479a-904f-f7f4fc300393"/>
    <xsd:import namespace="91b4482e-1f40-466b-b6ed-6519c33e474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33a356-f24e-479a-904f-f7f4fc3003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a507d7c-5b13-4ef3-b3ab-76122cafab63"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1b4482e-1f40-466b-b6ed-6519c33e474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043f736-ee25-4bb8-a03d-1dc16804f43c}" ma:internalName="TaxCatchAll" ma:showField="CatchAllData" ma:web="91b4482e-1f40-466b-b6ed-6519c33e474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33a356-f24e-479a-904f-f7f4fc300393">
      <Terms xmlns="http://schemas.microsoft.com/office/infopath/2007/PartnerControls"/>
    </lcf76f155ced4ddcb4097134ff3c332f>
    <TaxCatchAll xmlns="91b4482e-1f40-466b-b6ed-6519c33e4746" xsi:nil="true"/>
  </documentManagement>
</p:properties>
</file>

<file path=customXml/itemProps1.xml><?xml version="1.0" encoding="utf-8"?>
<ds:datastoreItem xmlns:ds="http://schemas.openxmlformats.org/officeDocument/2006/customXml" ds:itemID="{994F4FD5-B463-467D-91B3-11FF8C00289E}">
  <ds:schemaRefs>
    <ds:schemaRef ds:uri="http://schemas.microsoft.com/sharepoint/v3/contenttype/forms"/>
  </ds:schemaRefs>
</ds:datastoreItem>
</file>

<file path=customXml/itemProps2.xml><?xml version="1.0" encoding="utf-8"?>
<ds:datastoreItem xmlns:ds="http://schemas.openxmlformats.org/officeDocument/2006/customXml" ds:itemID="{A24675AC-2655-4692-8F23-6E536AEBAE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33a356-f24e-479a-904f-f7f4fc300393"/>
    <ds:schemaRef ds:uri="91b4482e-1f40-466b-b6ed-6519c33e47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CE2B391-8AC3-4618-BD4D-254E7163DF70}">
  <ds:schemaRefs>
    <ds:schemaRef ds:uri="http://schemas.microsoft.com/office/2006/metadata/properties"/>
    <ds:schemaRef ds:uri="http://schemas.microsoft.com/office/infopath/2007/PartnerControls"/>
    <ds:schemaRef ds:uri="cb33a356-f24e-479a-904f-f7f4fc300393"/>
    <ds:schemaRef ds:uri="91b4482e-1f40-466b-b6ed-6519c33e4746"/>
  </ds:schemaRefs>
</ds:datastoreItem>
</file>

<file path=docMetadata/LabelInfo.xml><?xml version="1.0" encoding="utf-8"?>
<clbl:labelList xmlns:clbl="http://schemas.microsoft.com/office/2020/mipLabelMetadata">
  <clbl:label id="{42f7676c-f455-423c-82f6-dc2d99791af7}" enabled="0" method="" siteId="{42f7676c-f455-423c-82f6-dc2d99791af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Summary</vt:lpstr>
      <vt:lpstr>2a. Administration</vt:lpstr>
      <vt:lpstr>2b. Planning</vt:lpstr>
      <vt:lpstr>2c. Delivery</vt:lpstr>
      <vt:lpstr>2d. Reconciliation</vt:lpstr>
      <vt:lpstr>2e. Reporting</vt:lpstr>
      <vt:lpstr>3a. Security</vt:lpstr>
      <vt:lpstr>3b. User Interface and User Exp</vt:lpstr>
      <vt:lpstr>3c. Performance-Scalability</vt:lpstr>
      <vt:lpstr>3d. Support-Maintenance</vt:lpstr>
      <vt:lpstr>3e. Reliability-Availability</vt:lpstr>
      <vt:lpstr>3f. Integration</vt:lpstr>
      <vt:lpstr>3g. Configurability</vt:lpstr>
      <vt:lpstr>3h. Compliance</vt:lpstr>
      <vt:lpstr>'2a. Administration'!_Int_h0KAy7bb</vt:lpstr>
      <vt:lpstr>'2b. Planning'!_Int_h0KAy7bb</vt:lpstr>
      <vt:lpstr>'2c. Delivery'!_Int_h0KAy7bb</vt:lpstr>
      <vt:lpstr>'2d. Reconciliation'!_Int_h0KAy7bb</vt:lpstr>
      <vt:lpstr>'2e. Reporting'!_Int_h0KAy7bb</vt:lpstr>
      <vt:lpstr>'2b. Planning'!_Int_QiuZ3ikt</vt:lpstr>
      <vt:lpstr>'2c. Delivery'!_Int_QiuZ3ikt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Hon Hong TEO (SG)</dc:creator>
  <cp:keywords/>
  <dc:description/>
  <cp:lastModifiedBy>Kenny WONG (SG)</cp:lastModifiedBy>
  <cp:revision/>
  <dcterms:created xsi:type="dcterms:W3CDTF">2024-03-05T02:57:12Z</dcterms:created>
  <dcterms:modified xsi:type="dcterms:W3CDTF">2026-01-12T03:57:43Z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0x0101006E468E2B6368964AA00861FEA82D6D72</vt:lpwstr>
  </property>
  <property fmtid="{D5CDD505-2E9C-101B-9397-08002B2CF9AE}" pid="3" name="MediaServiceImageTags">
    <vt:lpwstr/>
  </property>
  <property fmtid="{D5CDD505-2E9C-101B-9397-08002B2CF9AE}" pid="4" name="Company Name 2">
    <vt:lpwstr>380;#Certis|6c99c722-02f7-4ab5-9ba2-78dfa5f41c50</vt:lpwstr>
  </property>
  <property fmtid="{D5CDD505-2E9C-101B-9397-08002B2CF9AE}" pid="5" name="Industry1">
    <vt:lpwstr>128;#Transportation|40426d63-a0b3-4d7c-9e14-830a3091db1e</vt:lpwstr>
  </property>
  <property fmtid="{D5CDD505-2E9C-101B-9397-08002B2CF9AE}" pid="6" name="Products">
    <vt:lpwstr>110;#ERP|d9079dba-f795-480a-94de-66bc0b6560f4;#179;#SuccessFactors|9fa9ec61-353f-4920-9f6a-fad46098e534;#164;#Analytics|fc05307e-3ab8-49fa-953a-7153e1eded0e</vt:lpwstr>
  </property>
  <property fmtid="{D5CDD505-2E9C-101B-9397-08002B2CF9AE}" pid="7" name="Region">
    <vt:lpwstr>171;#NSW|d34b21e0-4063-4919-99b3-aa20b7b82a7a</vt:lpwstr>
  </property>
  <property fmtid="{D5CDD505-2E9C-101B-9397-08002B2CF9AE}" pid="8" name="OppDocType">
    <vt:lpwstr>167;#Final Submission|c514c08a-ef01-4a22-8481-598fbaebe34f</vt:lpwstr>
  </property>
</Properties>
</file>